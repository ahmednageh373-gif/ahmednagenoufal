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7771" windowHeight="8232" tabRatio="600" firstSheet="0" activeTab="0" autoFilterDateGrouping="1"/>
  </bookViews>
  <sheets>
    <sheet xmlns:r="http://schemas.openxmlformats.org/officeDocument/2006/relationships" name="ورقة1" sheetId="1" state="visible" r:id="rId1"/>
  </sheets>
  <definedNames>
    <definedName name="_xlnm._FilterDatabase" localSheetId="0" hidden="1">'ورقة1'!$D$6:$N$636</definedName>
    <definedName name="_xlnm.Print_Titles" localSheetId="0">'ورقة1'!$1:$7</definedName>
    <definedName name="_xlnm.Print_Area" localSheetId="0">'ورقة1'!$D$1:$O$635</definedName>
  </definedNames>
  <calcPr calcId="191029" fullCalcOnLoad="1"/>
</workbook>
</file>

<file path=xl/styles.xml><?xml version="1.0" encoding="utf-8"?>
<styleSheet xmlns="http://schemas.openxmlformats.org/spreadsheetml/2006/main">
  <numFmts count="4">
    <numFmt numFmtId="164" formatCode="_-* #,##0.00_-;\-* #,##0.00_-;_-* &quot;-&quot;??_-;_-@_-"/>
    <numFmt numFmtId="165" formatCode="_-* #,##0_-;\-* #,##0_-;_-* &quot;-&quot;??_-;_-@_-"/>
    <numFmt numFmtId="166" formatCode="_-* #,##0.00\ _ر_._س_._‏_-;\-* #,##0.00\ _ر_._س_._‏_-;_-* &quot;-&quot;??\ _ر_._س_._‏_-;_-@_-"/>
    <numFmt numFmtId="167" formatCode="_ * #,##0_ ;_ * \-#,##0_ ;_ * &quot;-&quot;_ ;_ @_ "/>
  </numFmts>
  <fonts count="29">
    <font>
      <name val="Calibri"/>
      <charset val="178"/>
      <color theme="1"/>
      <sz val="11"/>
      <scheme val="minor"/>
    </font>
    <font>
      <name val="Arial"/>
      <charset val="134"/>
      <color theme="1"/>
      <sz val="14"/>
    </font>
    <font>
      <name val="Arial"/>
      <charset val="134"/>
      <color theme="1"/>
      <sz val="20"/>
    </font>
    <font>
      <name val="Arial"/>
      <charset val="134"/>
      <b val="1"/>
      <color rgb="FFFAFAFA"/>
      <sz val="14"/>
    </font>
    <font>
      <name val="Arial"/>
      <charset val="134"/>
      <color rgb="FF00463F"/>
      <sz val="14"/>
    </font>
    <font>
      <name val="Arial"/>
      <charset val="134"/>
      <b val="1"/>
      <color rgb="FFFAFAFA"/>
      <sz val="20"/>
    </font>
    <font>
      <name val="Arial"/>
      <charset val="134"/>
      <color rgb="FF00463F"/>
      <sz val="2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color rgb="FFFF0000"/>
      <sz val="14"/>
    </font>
    <font>
      <b val="1"/>
      <sz val="14"/>
    </font>
  </fonts>
  <fills count="37">
    <fill>
      <patternFill/>
    </fill>
    <fill>
      <patternFill patternType="gray125"/>
    </fill>
    <fill>
      <patternFill patternType="solid">
        <fgColor rgb="FF29AD6F"/>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F00"/>
        <b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9">
    <xf numFmtId="0" fontId="0" fillId="0" borderId="0"/>
    <xf numFmtId="164" fontId="0" fillId="0" borderId="0"/>
    <xf numFmtId="44" fontId="7" fillId="0" borderId="0" applyAlignment="1">
      <alignment vertical="center"/>
    </xf>
    <xf numFmtId="9" fontId="7" fillId="0" borderId="0" applyAlignment="1">
      <alignment vertical="center"/>
    </xf>
    <xf numFmtId="167"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5"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6" borderId="5" applyAlignment="1">
      <alignment vertical="center"/>
    </xf>
    <xf numFmtId="0" fontId="17" fillId="7" borderId="6" applyAlignment="1">
      <alignment vertical="center"/>
    </xf>
    <xf numFmtId="0" fontId="18" fillId="7" borderId="5" applyAlignment="1">
      <alignment vertical="center"/>
    </xf>
    <xf numFmtId="0" fontId="19" fillId="8" borderId="7" applyAlignment="1">
      <alignment vertical="center"/>
    </xf>
    <xf numFmtId="0" fontId="20" fillId="0" borderId="8" applyAlignment="1">
      <alignment vertical="center"/>
    </xf>
    <xf numFmtId="0" fontId="21" fillId="0" borderId="9"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6" fillId="13" borderId="0" applyAlignment="1">
      <alignment vertical="center"/>
    </xf>
    <xf numFmtId="0" fontId="26" fillId="14" borderId="0" applyAlignment="1">
      <alignment vertical="center"/>
    </xf>
    <xf numFmtId="0" fontId="25"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cellStyleXfs>
  <cellXfs count="29">
    <xf numFmtId="0" fontId="0" fillId="0" borderId="0" pivotButton="0" quotePrefix="0" xfId="0"/>
    <xf numFmtId="0" fontId="1" fillId="0" borderId="0" pivotButton="0" quotePrefix="0" xfId="0"/>
    <xf numFmtId="0" fontId="2" fillId="0" borderId="0" applyAlignment="1" pivotButton="0" quotePrefix="0" xfId="0">
      <alignment horizontal="center" vertical="center"/>
    </xf>
    <xf numFmtId="164" fontId="1" fillId="0" borderId="0" applyAlignment="1" pivotButton="0" quotePrefix="0" xfId="1">
      <alignment horizontal="center" vertical="center"/>
    </xf>
    <xf numFmtId="0" fontId="3" fillId="2" borderId="1" applyAlignment="1" pivotButton="0" quotePrefix="0" xfId="0">
      <alignment horizontal="right" vertical="center" wrapText="1" readingOrder="2"/>
    </xf>
    <xf numFmtId="0" fontId="4" fillId="3" borderId="1" applyAlignment="1" pivotButton="0" quotePrefix="0" xfId="0">
      <alignment horizontal="right" vertical="center" wrapText="1" readingOrder="2"/>
    </xf>
    <xf numFmtId="0" fontId="4" fillId="4" borderId="1" applyAlignment="1" pivotButton="0" quotePrefix="0" xfId="0">
      <alignment horizontal="right" vertical="center" wrapText="1" readingOrder="2"/>
    </xf>
    <xf numFmtId="0" fontId="4" fillId="0" borderId="1" applyAlignment="1" pivotButton="0" quotePrefix="0" xfId="0">
      <alignment horizontal="right" vertical="center" wrapText="1" readingOrder="2"/>
    </xf>
    <xf numFmtId="165" fontId="2" fillId="0" borderId="0" applyAlignment="1" pivotButton="0" quotePrefix="0" xfId="0">
      <alignment horizontal="center" vertical="center"/>
    </xf>
    <xf numFmtId="0" fontId="5" fillId="2" borderId="1" applyAlignment="1" pivotButton="0" quotePrefix="0" xfId="0">
      <alignment horizontal="center" vertical="center" wrapText="1" readingOrder="2"/>
    </xf>
    <xf numFmtId="165" fontId="5" fillId="2" borderId="1" applyAlignment="1" pivotButton="0" quotePrefix="0" xfId="1">
      <alignment horizontal="center" vertical="center" wrapText="1" readingOrder="2"/>
    </xf>
    <xf numFmtId="0" fontId="6" fillId="3" borderId="1" applyAlignment="1" pivotButton="0" quotePrefix="0" xfId="0">
      <alignment horizontal="center" vertical="center" wrapText="1" readingOrder="2"/>
    </xf>
    <xf numFmtId="166" fontId="6" fillId="3" borderId="1" applyAlignment="1" pivotButton="0" quotePrefix="0" xfId="0">
      <alignment horizontal="center" vertical="center" wrapText="1" readingOrder="2"/>
    </xf>
    <xf numFmtId="0" fontId="2" fillId="0" borderId="1" applyAlignment="1" pivotButton="0" quotePrefix="0" xfId="0">
      <alignment horizontal="center" vertical="center"/>
    </xf>
    <xf numFmtId="0" fontId="6" fillId="0" borderId="1" applyAlignment="1" pivotButton="0" quotePrefix="0" xfId="0">
      <alignment horizontal="center" vertical="center" wrapText="1" readingOrder="2"/>
    </xf>
    <xf numFmtId="166" fontId="6" fillId="0" borderId="1" applyAlignment="1" pivotButton="0" quotePrefix="0" xfId="0">
      <alignment horizontal="center" vertical="center" wrapText="1" readingOrder="2"/>
    </xf>
    <xf numFmtId="165" fontId="6" fillId="0" borderId="1" applyAlignment="1" pivotButton="0" quotePrefix="0" xfId="1">
      <alignment horizontal="center" vertical="center" wrapText="1" readingOrder="2"/>
    </xf>
    <xf numFmtId="165" fontId="6" fillId="0" borderId="0" applyAlignment="1" pivotButton="0" quotePrefix="0" xfId="1">
      <alignment horizontal="center" vertical="center" wrapText="1" readingOrder="2"/>
    </xf>
    <xf numFmtId="164" fontId="1" fillId="0" borderId="0" applyAlignment="1" pivotButton="0" quotePrefix="0" xfId="1">
      <alignment horizontal="center" vertical="center"/>
    </xf>
    <xf numFmtId="165" fontId="2" fillId="0" borderId="0" applyAlignment="1" pivotButton="0" quotePrefix="0" xfId="0">
      <alignment horizontal="center" vertical="center"/>
    </xf>
    <xf numFmtId="165" fontId="5" fillId="2" borderId="1" applyAlignment="1" pivotButton="0" quotePrefix="0" xfId="1">
      <alignment horizontal="center" vertical="center" wrapText="1" readingOrder="2"/>
    </xf>
    <xf numFmtId="0" fontId="0" fillId="0" borderId="12" pivotButton="0" quotePrefix="0" xfId="0"/>
    <xf numFmtId="166" fontId="6" fillId="3" borderId="1" applyAlignment="1" pivotButton="0" quotePrefix="0" xfId="0">
      <alignment horizontal="center" vertical="center" wrapText="1" readingOrder="2"/>
    </xf>
    <xf numFmtId="4" fontId="2" fillId="0" borderId="1" applyAlignment="1" pivotButton="0" quotePrefix="0" xfId="0">
      <alignment horizontal="center" vertical="center"/>
    </xf>
    <xf numFmtId="166" fontId="6" fillId="0" borderId="1" applyAlignment="1" pivotButton="0" quotePrefix="0" xfId="0">
      <alignment horizontal="center" vertical="center" wrapText="1" readingOrder="2"/>
    </xf>
    <xf numFmtId="165" fontId="6" fillId="0" borderId="1" applyAlignment="1" pivotButton="0" quotePrefix="0" xfId="1">
      <alignment horizontal="center" vertical="center" wrapText="1" readingOrder="2"/>
    </xf>
    <xf numFmtId="165" fontId="6" fillId="0" borderId="0" applyAlignment="1" pivotButton="0" quotePrefix="0" xfId="1">
      <alignment horizontal="center" vertical="center" wrapText="1" readingOrder="2"/>
    </xf>
    <xf numFmtId="0" fontId="28" fillId="0" borderId="0" pivotButton="0" quotePrefix="0" xfId="0"/>
    <xf numFmtId="4" fontId="28" fillId="36"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fitToPage="1"/>
  </sheetPr>
  <dimension ref="A1:Q638"/>
  <sheetViews>
    <sheetView tabSelected="1" view="pageBreakPreview" topLeftCell="D1" zoomScale="61" zoomScaleNormal="40" workbookViewId="0">
      <pane ySplit="7" topLeftCell="A8" activePane="bottomLeft" state="frozen"/>
      <selection activeCell="A1" sqref="A1"/>
      <selection pane="bottomLeft" activeCell="H10" sqref="H10"/>
    </sheetView>
  </sheetViews>
  <sheetFormatPr baseColWidth="8" defaultColWidth="8.703703703703701" defaultRowHeight="24.6"/>
  <cols>
    <col width="8.703703703703701" customWidth="1" style="1" min="1" max="3"/>
    <col width="12.5" customWidth="1" style="1" min="4" max="5"/>
    <col width="38.2962962962963" customWidth="1" style="1" min="6" max="6"/>
    <col hidden="1" width="23.2037037037037" customWidth="1" style="1" min="7" max="7"/>
    <col width="158.5" customWidth="1" style="1" min="8" max="8"/>
    <col width="8.703703703703701" customWidth="1" style="2" min="9" max="9"/>
    <col hidden="1" width="15.7037037037037" customWidth="1" style="2" min="10" max="10"/>
    <col hidden="1" width="19.7962962962963" customWidth="1" style="2" min="11" max="11"/>
    <col width="10.5" customWidth="1" style="2" min="12" max="12"/>
    <col width="18.7962962962963" customWidth="1" style="2" min="13" max="13"/>
    <col width="27.7962962962963" customWidth="1" style="2" min="14" max="14"/>
    <col width="41.2037037037037" customWidth="1" style="2" min="15" max="15"/>
    <col width="45.7037037037037" customWidth="1" style="2" min="16" max="16"/>
    <col width="8.703703703703701" customWidth="1" style="1" min="17" max="16384"/>
  </cols>
  <sheetData>
    <row r="1"/>
    <row r="2"/>
    <row r="3">
      <c r="F3" s="18" t="n"/>
      <c r="H3" s="1" t="inlineStr">
        <is>
          <t>انشاء وتجهيز مجمع المزارع النموذجية للإنتاج الحيواني بالقصيم</t>
        </is>
      </c>
      <c r="O3" s="19">
        <f>O4+O4*15%</f>
        <v/>
      </c>
    </row>
    <row r="4">
      <c r="F4" s="18" t="n"/>
      <c r="H4" s="1" t="inlineStr">
        <is>
          <t xml:space="preserve">15 شهر </t>
        </is>
      </c>
      <c r="O4" s="19">
        <f>SUM(O8:O632)</f>
        <v/>
      </c>
    </row>
    <row r="5"/>
    <row r="6" ht="14.4" customHeight="1">
      <c r="D6" s="4" t="inlineStr">
        <is>
          <t>الرقم التسلسلي</t>
        </is>
      </c>
      <c r="E6" s="4" t="inlineStr">
        <is>
          <t>الفئة</t>
        </is>
      </c>
      <c r="F6" s="4" t="inlineStr">
        <is>
          <t>البند</t>
        </is>
      </c>
      <c r="G6" s="4" t="inlineStr">
        <is>
          <t>وصف البند</t>
        </is>
      </c>
      <c r="H6" s="4" t="inlineStr">
        <is>
          <t>المواصفات</t>
        </is>
      </c>
      <c r="I6" s="9" t="inlineStr">
        <is>
          <t>منتج من القائمة الإلزامية</t>
        </is>
      </c>
      <c r="J6" s="9" t="inlineStr">
        <is>
          <t>الرمز الإنشائي</t>
        </is>
      </c>
      <c r="K6" s="9" t="inlineStr">
        <is>
          <t>مرفقات</t>
        </is>
      </c>
      <c r="L6" s="9" t="inlineStr">
        <is>
          <t>وحدة القياس</t>
        </is>
      </c>
      <c r="M6" s="9" t="inlineStr">
        <is>
          <t>الكمية</t>
        </is>
      </c>
      <c r="N6" s="20" t="inlineStr">
        <is>
          <t>سعر الوحدة</t>
        </is>
      </c>
      <c r="O6" s="20" t="inlineStr">
        <is>
          <t>الإجمالي</t>
        </is>
      </c>
      <c r="P6" s="20" t="inlineStr">
        <is>
          <t>الإجمالي</t>
        </is>
      </c>
    </row>
    <row r="7" ht="14.4" customHeight="1">
      <c r="D7" s="21" t="n"/>
      <c r="E7" s="21" t="n"/>
      <c r="F7" s="21" t="n"/>
      <c r="G7" s="21" t="n"/>
      <c r="H7" s="21" t="n"/>
      <c r="I7" s="21" t="n"/>
      <c r="J7" s="21" t="n"/>
      <c r="K7" s="21" t="n"/>
      <c r="L7" s="21" t="n"/>
      <c r="M7" s="21" t="n"/>
      <c r="N7" s="21" t="n"/>
      <c r="O7" s="21" t="n"/>
      <c r="P7" s="21" t="n"/>
    </row>
    <row r="8" ht="34.8" customHeight="1">
      <c r="D8" s="5" t="n">
        <v>1</v>
      </c>
      <c r="E8" s="5" t="n">
        <v>1</v>
      </c>
      <c r="F8" s="5" t="inlineStr">
        <is>
          <t>الموقع العام اعمال حفر</t>
        </is>
      </c>
      <c r="G8" s="5" t="inlineStr">
        <is>
          <t>اعمال اعتيادية مباني معمارية 1</t>
        </is>
      </c>
      <c r="H8" s="5" t="inlineStr">
        <is>
          <t>بالمتر المربع توريد مدقات للطرق وانهاء العمل طبقاً لأصول الصناعة وتعليمات المهندس المشرف</t>
        </is>
      </c>
      <c r="I8" s="11" t="inlineStr">
        <is>
          <t>لا</t>
        </is>
      </c>
      <c r="J8" s="11" t="n"/>
      <c r="K8" s="11" t="inlineStr">
        <is>
          <t>لا يوجد مرفقات</t>
        </is>
      </c>
      <c r="L8" s="11" t="inlineStr">
        <is>
          <t>م2</t>
        </is>
      </c>
      <c r="M8" s="11" t="n">
        <v>26000</v>
      </c>
      <c r="N8" s="22" t="n">
        <v>50</v>
      </c>
      <c r="O8" s="22">
        <f>N8*M8</f>
        <v/>
      </c>
      <c r="P8" s="23" t="n">
        <v>1300000</v>
      </c>
    </row>
    <row r="9" ht="34.8" customHeight="1">
      <c r="D9" s="5" t="n">
        <v>2</v>
      </c>
      <c r="E9" s="5" t="n">
        <v>2</v>
      </c>
      <c r="F9" s="5" t="inlineStr">
        <is>
          <t>الموقع العام اعمال مدقات</t>
        </is>
      </c>
      <c r="G9" s="5" t="inlineStr">
        <is>
          <t>اعمال اعتيادية مباني معمارية 2</t>
        </is>
      </c>
      <c r="H9" s="5" t="inlineStr">
        <is>
          <t>بالمتر المربع توريد مدقات للطرق وانهاء العمل طبقاً لأصول الصناعة وتعليمات المهندس المشرف</t>
        </is>
      </c>
      <c r="I9" s="11" t="inlineStr">
        <is>
          <t>لا</t>
        </is>
      </c>
      <c r="J9" s="11" t="n"/>
      <c r="K9" s="11" t="inlineStr">
        <is>
          <t>لا يوجد مرفقات</t>
        </is>
      </c>
      <c r="L9" s="11" t="inlineStr">
        <is>
          <t>م2</t>
        </is>
      </c>
      <c r="M9" s="11" t="n">
        <v>8500</v>
      </c>
      <c r="N9" s="22" t="n">
        <v>60</v>
      </c>
      <c r="O9" s="22">
        <f>N9*M9</f>
        <v/>
      </c>
      <c r="P9" s="23" t="n">
        <v>510000</v>
      </c>
    </row>
    <row r="10" ht="87" customHeight="1">
      <c r="D10" s="5" t="n">
        <v>3</v>
      </c>
      <c r="E10" s="6" t="n">
        <v>3</v>
      </c>
      <c r="F10" s="6" t="inlineStr">
        <is>
          <t>الموقع العام تركيب سور خارجي</t>
        </is>
      </c>
      <c r="G10" s="6" t="inlineStr">
        <is>
          <t>اعمال اعتيادية مباني معمارية 3</t>
        </is>
      </c>
      <c r="H10" s="7" t="inlineStr">
        <is>
          <t>بالمتر الطولي توريد وتنفيذ سور خارجي بارتفاع 35 م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والبند يشمل اعمال الحفر للأساسات وعزل الاساسات ضد الرطوبة والردم حول الاساسات بأتربة نظيفة مع رش المبيدات الخاصة بدودة الأرض (النمل الأبيض) أسفل الاساسات طبقا للأبعاد والمناسيب الموضحة على المخططات وكذلك اعمال الخرسانة المسلحة والعادية مع استخدم اسمنت مقاوم للكبريتات على الا يقل محتوى الاسمنت عن 350 كجم/م3 للخرسانة المسلحة و275 كجم/م3 للخرسانة العادية على أن تنفذ جميع الاعمال طبقاً للمخطط التفصيلي للسور طبقا للمواصفات وتحت اشراف المهندس المشرف 2004-2049-2017</t>
        </is>
      </c>
      <c r="I10" s="14" t="inlineStr">
        <is>
          <t>نعم</t>
        </is>
      </c>
      <c r="J10" s="14" t="n">
        <v>2007</v>
      </c>
      <c r="K10" s="14" t="inlineStr">
        <is>
          <t>لا يوجد مرفقات</t>
        </is>
      </c>
      <c r="L10" s="14" t="inlineStr">
        <is>
          <t>مط</t>
        </is>
      </c>
      <c r="M10" s="14" t="n">
        <v>180</v>
      </c>
      <c r="N10" s="22" t="n">
        <v>1300</v>
      </c>
      <c r="O10" s="22">
        <f>N10*M10</f>
        <v/>
      </c>
      <c r="P10" s="23" t="n">
        <v>234000</v>
      </c>
    </row>
    <row r="11" ht="87" customHeight="1">
      <c r="D11" s="5" t="n">
        <v>4</v>
      </c>
      <c r="E11" s="6" t="n">
        <v>4</v>
      </c>
      <c r="F11" s="6" t="inlineStr">
        <is>
          <t>الموقع العام تركيب سياج</t>
        </is>
      </c>
      <c r="G11" s="6" t="inlineStr">
        <is>
          <t>اعمال اعتيادية مباني معمارية 4</t>
        </is>
      </c>
      <c r="H11" s="7" t="inlineStr">
        <is>
          <t>بالمتر الطولي توريد وتنفيذ سياج من الشبك المجلفن طبقاً للمواصفات المذكورة بنطاق العمل وجميع الأعمال الآتية: - الحفر بعمق 65 سم طبقا لأبعاد قواعد الخرسانة العادية - الردم برمال نظيفة أو من ناتج الحفر (إذا كان يصلح) - صب قواعد خرسانة عادية 60سم*60سم بسمك 10 سم - صب قواعد خرسانة مسلحة 50سم*50سم بسمك 55 سم يتم اخذ تفاصيل التسليح من نطاق العمل - توريد و دهان طبقتين من دهان بيتوميني لجوانب وأسطح القواعد المسلحة - تركيب الأعمدة الساندة كل 3 متر، مواسير حديد مجلفن قطر 25 بوصة وسماكة 3 مم - تركيب أعمدة الشد كل 30 متر، مواسير حديد مجلفن قطر 3 بوصة وسماكة 3 مم - تركيب سلك شبك مجدول مجلفن بسماكة 4مم بإرتفاع 25 متر عن سطح الأرض وفتحات لا تزيد عن 5 سم والعمل طبقاً للمخططات والمواصفات وحسب أصول الصناعة و تعليمات المهندس المشرف 2004</t>
        </is>
      </c>
      <c r="I11" s="14" t="inlineStr">
        <is>
          <t>نعم</t>
        </is>
      </c>
      <c r="J11" s="14" t="n">
        <v>2011</v>
      </c>
      <c r="K11" s="14" t="inlineStr">
        <is>
          <t>لا يوجد مرفقات</t>
        </is>
      </c>
      <c r="L11" s="14" t="inlineStr">
        <is>
          <t>مط</t>
        </is>
      </c>
      <c r="M11" s="14" t="n">
        <v>700</v>
      </c>
      <c r="N11" s="22" t="n">
        <v>210</v>
      </c>
      <c r="O11" s="22">
        <f>N11*M11</f>
        <v/>
      </c>
      <c r="P11" s="23" t="n">
        <v>147000</v>
      </c>
    </row>
    <row r="12" ht="69.59999999999999" customHeight="1">
      <c r="D12" s="5" t="n">
        <v>5</v>
      </c>
      <c r="E12" s="6" t="n">
        <v>5</v>
      </c>
      <c r="F12" s="6" t="inlineStr">
        <is>
          <t>الموقع العام تركيب بوابه رئيسية</t>
        </is>
      </c>
      <c r="G12" s="6" t="inlineStr">
        <is>
          <t>اعمال اعتيادية مباني معمارية 5</t>
        </is>
      </c>
      <c r="H12" s="7" t="inlineStr">
        <is>
          <t>بالعدد :توريد و تركيب بوابه رئيسية ضلفتين تتحرك محوريا على عجل ,الإطار من مواسير الحديد المجلفن بقطر 3 بوصة و سماكة 3 مم ومقاس الضلفة الواحدة 400 × 250 متر،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is>
      </c>
      <c r="I12" s="14" t="inlineStr">
        <is>
          <t>نعم</t>
        </is>
      </c>
      <c r="J12" s="14" t="n">
        <v>2031</v>
      </c>
      <c r="K12" s="14" t="inlineStr">
        <is>
          <t>لا يوجد مرفقات</t>
        </is>
      </c>
      <c r="L12" s="14" t="inlineStr">
        <is>
          <t>عدد</t>
        </is>
      </c>
      <c r="M12" s="14" t="n">
        <v>2</v>
      </c>
      <c r="N12" s="22" t="n">
        <v>4200</v>
      </c>
      <c r="O12" s="22">
        <f>N12*M12</f>
        <v/>
      </c>
      <c r="P12" s="23" t="n">
        <v>8400</v>
      </c>
    </row>
    <row r="13" ht="34.8" customHeight="1">
      <c r="D13" s="5" t="n">
        <v>6</v>
      </c>
      <c r="E13" s="5" t="n">
        <v>6</v>
      </c>
      <c r="F13" s="5" t="inlineStr">
        <is>
          <t>الموقع العام تركيب بوابه خروج</t>
        </is>
      </c>
      <c r="G13" s="5" t="inlineStr">
        <is>
          <t>اعمال اعتيادية مباني معمارية 6</t>
        </is>
      </c>
      <c r="H13" s="5" t="inlineStr">
        <is>
          <t>مثل مواصفات البند السابق ولكن خروج الطوارئ 2011</t>
        </is>
      </c>
      <c r="I13" s="11" t="inlineStr">
        <is>
          <t>نعم</t>
        </is>
      </c>
      <c r="J13" s="11" t="n">
        <v>2031</v>
      </c>
      <c r="K13" s="11" t="inlineStr">
        <is>
          <t>لا يوجد مرفقات</t>
        </is>
      </c>
      <c r="L13" s="11" t="inlineStr">
        <is>
          <t>عدد</t>
        </is>
      </c>
      <c r="M13" s="11" t="n">
        <v>1</v>
      </c>
      <c r="N13" s="22" t="n">
        <v>4200</v>
      </c>
      <c r="O13" s="22">
        <f>N13*M13</f>
        <v/>
      </c>
      <c r="P13" s="23" t="n">
        <v>4200</v>
      </c>
    </row>
    <row r="14">
      <c r="D14" s="4" t="inlineStr">
        <is>
          <t>لرقم التسلسلي</t>
        </is>
      </c>
      <c r="E14" s="4" t="inlineStr">
        <is>
          <t>الفئة</t>
        </is>
      </c>
      <c r="F14" s="4" t="inlineStr">
        <is>
          <t>البند</t>
        </is>
      </c>
      <c r="G14" s="4" t="inlineStr">
        <is>
          <t>وصف البند</t>
        </is>
      </c>
      <c r="H14" s="4" t="inlineStr">
        <is>
          <t>المواصفات</t>
        </is>
      </c>
      <c r="I14" s="9" t="inlineStr">
        <is>
          <t>منتج من القائمة الإلزامية</t>
        </is>
      </c>
      <c r="J14" s="9" t="inlineStr">
        <is>
          <t>الرمز الإنشائي</t>
        </is>
      </c>
      <c r="K14" s="9" t="inlineStr">
        <is>
          <t>مرفقات</t>
        </is>
      </c>
      <c r="L14" s="9" t="inlineStr">
        <is>
          <t>وحدة القياس</t>
        </is>
      </c>
      <c r="M14" s="9" t="inlineStr">
        <is>
          <t>الكمية</t>
        </is>
      </c>
      <c r="N14" s="20" t="inlineStr">
        <is>
          <t>سعر الوحدة</t>
        </is>
      </c>
      <c r="O14" s="20" t="inlineStr">
        <is>
          <t>الإجمالي</t>
        </is>
      </c>
      <c r="P14" s="13" t="n"/>
    </row>
    <row r="15">
      <c r="D15" s="21" t="n"/>
      <c r="E15" s="21" t="n"/>
      <c r="F15" s="21" t="n"/>
      <c r="G15" s="21" t="n"/>
      <c r="H15" s="21" t="n"/>
      <c r="I15" s="21" t="n"/>
      <c r="J15" s="21" t="n"/>
      <c r="K15" s="21" t="n"/>
      <c r="L15" s="21" t="n"/>
      <c r="M15" s="21" t="n"/>
      <c r="N15" s="21" t="n"/>
      <c r="O15" s="21" t="n"/>
      <c r="P15" s="13" t="n"/>
    </row>
    <row r="16" ht="69.59999999999999" customHeight="1">
      <c r="D16" s="5" t="n">
        <v>7</v>
      </c>
      <c r="E16" s="5" t="n">
        <v>7</v>
      </c>
      <c r="F16" s="5" t="inlineStr">
        <is>
          <t>الموقع العام تركيب لوحة ارشادية</t>
        </is>
      </c>
      <c r="G16" s="5" t="inlineStr">
        <is>
          <t>اعمال اعتيادية مباني معمارية 7</t>
        </is>
      </c>
      <c r="H16" s="5" t="inlineStr">
        <is>
          <t>بالعدد توريد وتركيب لوحة ارشادية للمشروع (رئيسية ) متضمنة اسم موقع المشروع باللغتين العربية والإنجليزية بنفس الفونت والأبعاد التي في المخططات على أن تكون الكتابة على لوح معدني مدهون بطبقة اليورثان وتثبت على قائمين من الحديد الذي لا يصدأ عبارة عن إسطوانتين بقطر 15سم وسمك 5مم ، كما تحتوي اللوحة على بيت للإضاءة ذو قطاع مربع يعلو اللوحة على أن يكون بيت الإضاءة من الحديد الذي لا يصدأ وذلك لإنارة موضع الكتابة باللوحة كما يحمل على البند جميع أعمال الحفر والردم والتثبيت وجميع أعمال إضاءة اللوحة، وعلى المقاول تقديم عينة من اللوحة للإعتماد قبل التنفيذ ، ويتم إنهاء العمل حسب المخططات والمواصفات وتعليمات المهندس المشرف</t>
        </is>
      </c>
      <c r="I16" s="11" t="inlineStr">
        <is>
          <t>نعم</t>
        </is>
      </c>
      <c r="J16" s="11" t="n">
        <v>2011</v>
      </c>
      <c r="K16" s="11" t="inlineStr">
        <is>
          <t>لا يوجد مرفقات</t>
        </is>
      </c>
      <c r="L16" s="11" t="inlineStr">
        <is>
          <t>عدد</t>
        </is>
      </c>
      <c r="M16" s="11" t="n">
        <v>1</v>
      </c>
      <c r="N16" s="22" t="n">
        <v>12600</v>
      </c>
      <c r="O16" s="22">
        <f>N16*M16</f>
        <v/>
      </c>
      <c r="P16" s="23" t="n">
        <v>12600</v>
      </c>
    </row>
    <row r="17" ht="34.8" customHeight="1">
      <c r="D17" s="5" t="n">
        <v>8</v>
      </c>
      <c r="E17" s="6" t="n">
        <v>8</v>
      </c>
      <c r="F17" s="6" t="inlineStr">
        <is>
          <t>الموقع العام تركيب ذراع تحكم</t>
        </is>
      </c>
      <c r="G17" s="6" t="inlineStr">
        <is>
          <t>اعمال اعتيادية مباني معمارية 8</t>
        </is>
      </c>
      <c r="H17" s="7" t="inlineStr">
        <is>
          <t>بالعدد توريد وتركيب ذراع تحكم لدخول وخروج السيارات لزوم البوابات الخارجية بطول لا يقل عن 350 متر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is>
      </c>
      <c r="I17" s="14" t="inlineStr">
        <is>
          <t>لا</t>
        </is>
      </c>
      <c r="J17" s="14" t="n"/>
      <c r="K17" s="14" t="inlineStr">
        <is>
          <t>لا يوجد مرفقات</t>
        </is>
      </c>
      <c r="L17" s="14" t="inlineStr">
        <is>
          <t>عدد</t>
        </is>
      </c>
      <c r="M17" s="14" t="n">
        <v>3</v>
      </c>
      <c r="N17" s="24" t="n">
        <v>12600</v>
      </c>
      <c r="O17" s="22">
        <f>N17*M17</f>
        <v/>
      </c>
      <c r="P17" s="23" t="n">
        <v>37800</v>
      </c>
    </row>
    <row r="18" ht="52.2" customHeight="1">
      <c r="D18" s="5" t="n">
        <v>9</v>
      </c>
      <c r="E18" s="5" t="n">
        <v>9</v>
      </c>
      <c r="F18" s="5" t="inlineStr">
        <is>
          <t>الموقع العام تركيب مظلات للسيارات</t>
        </is>
      </c>
      <c r="G18" s="5" t="inlineStr">
        <is>
          <t>اعمال اعتيادية مباني معمارية 9</t>
        </is>
      </c>
      <c r="H18" s="7" t="inlineStr">
        <is>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is>
      </c>
      <c r="I18" s="14" t="inlineStr">
        <is>
          <t>نعم</t>
        </is>
      </c>
      <c r="J18" s="14" t="n">
        <v>2050</v>
      </c>
      <c r="K18" s="14" t="inlineStr">
        <is>
          <t>لا يوجد مرفقات</t>
        </is>
      </c>
      <c r="L18" s="14" t="inlineStr">
        <is>
          <t>م2</t>
        </is>
      </c>
      <c r="M18" s="14" t="n">
        <v>175</v>
      </c>
      <c r="N18" s="24" t="n">
        <v>200</v>
      </c>
      <c r="O18" s="22">
        <f>N18*M18</f>
        <v/>
      </c>
      <c r="P18" s="23" t="n">
        <v>35000</v>
      </c>
    </row>
    <row r="19" ht="34.8" customHeight="1">
      <c r="D19" s="5" t="n">
        <v>10</v>
      </c>
      <c r="E19" s="5" t="n">
        <v>10</v>
      </c>
      <c r="F19" s="5" t="inlineStr">
        <is>
          <t>غرف الكهرباء أعمال دهان ايبوكسى</t>
        </is>
      </c>
      <c r="G19" s="5" t="inlineStr">
        <is>
          <t>اعمال اعتيادية مباني معمارية 10</t>
        </is>
      </c>
      <c r="H19" s="7" t="inlineStr">
        <is>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is>
      </c>
      <c r="I19" s="14" t="inlineStr">
        <is>
          <t>نعم</t>
        </is>
      </c>
      <c r="J19" s="14" t="n">
        <v>2017</v>
      </c>
      <c r="K19" s="14" t="inlineStr">
        <is>
          <t>لا يوجد مرفقات</t>
        </is>
      </c>
      <c r="L19" s="14" t="inlineStr">
        <is>
          <t>م2</t>
        </is>
      </c>
      <c r="M19" s="14" t="n">
        <v>95</v>
      </c>
      <c r="N19" s="24" t="n">
        <v>90</v>
      </c>
      <c r="O19" s="22">
        <f>N19*M19</f>
        <v/>
      </c>
      <c r="P19" s="23" t="n">
        <v>8550</v>
      </c>
    </row>
    <row r="20" ht="34.8" customHeight="1">
      <c r="D20" s="5" t="n">
        <v>11</v>
      </c>
      <c r="E20" s="6" t="n">
        <v>11</v>
      </c>
      <c r="F20" s="6" t="inlineStr">
        <is>
          <t>مغطس</t>
        </is>
      </c>
      <c r="G20" s="6" t="inlineStr">
        <is>
          <t>اعمال اعتيادية مباني معمارية 11</t>
        </is>
      </c>
      <c r="H20" s="7" t="inlineStr">
        <is>
          <t>انشاء مغطس الاحواض الثابتة من الطوب والخرسانة بمواصفات خاصة تسمح بغمر الحيوانات دون رأسها في المحلول المطهر حتى يصل المحلول إلى جميع اجزاء الجسم</t>
        </is>
      </c>
      <c r="I20" s="14" t="inlineStr">
        <is>
          <t>نعم</t>
        </is>
      </c>
      <c r="J20" s="14" t="n">
        <v>2007</v>
      </c>
      <c r="K20" s="14" t="inlineStr">
        <is>
          <t>لا يوجد مرفقات</t>
        </is>
      </c>
      <c r="L20" s="14" t="inlineStr">
        <is>
          <t>عدد</t>
        </is>
      </c>
      <c r="M20" s="14" t="n">
        <v>1</v>
      </c>
      <c r="N20" s="24" t="n">
        <v>87500</v>
      </c>
      <c r="O20" s="22">
        <f>N20*M20</f>
        <v/>
      </c>
      <c r="P20" s="23" t="n">
        <v>87500</v>
      </c>
    </row>
    <row r="21" ht="34.8" customHeight="1">
      <c r="D21" s="5" t="n">
        <v>12</v>
      </c>
      <c r="E21" s="5" t="n">
        <v>12</v>
      </c>
      <c r="F21" s="5" t="inlineStr">
        <is>
          <t>غرف الكهرباء أعمال خرسانية بلوك 20سم خارجي</t>
        </is>
      </c>
      <c r="G21" s="5" t="inlineStr">
        <is>
          <t>اعمال اعتيادية مباني معمارية 12</t>
        </is>
      </c>
      <c r="H21" s="7" t="inlineStr">
        <is>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is>
      </c>
      <c r="I21" s="14" t="inlineStr">
        <is>
          <t>نعم</t>
        </is>
      </c>
      <c r="J21" s="14" t="n">
        <v>2007</v>
      </c>
      <c r="K21" s="14" t="inlineStr">
        <is>
          <t>لا يوجد مرفقات</t>
        </is>
      </c>
      <c r="L21" s="14" t="inlineStr">
        <is>
          <t>م2</t>
        </is>
      </c>
      <c r="M21" s="14" t="n">
        <v>178</v>
      </c>
      <c r="N21" s="24" t="n">
        <v>70</v>
      </c>
      <c r="O21" s="22">
        <f>N21*M21</f>
        <v/>
      </c>
      <c r="P21" s="23" t="n">
        <v>12460</v>
      </c>
    </row>
    <row r="22" ht="17.55" customHeight="1">
      <c r="D22" s="4" t="inlineStr">
        <is>
          <t>الرقم التسلسلي</t>
        </is>
      </c>
      <c r="E22" s="4" t="inlineStr">
        <is>
          <t>الفئة</t>
        </is>
      </c>
      <c r="F22" s="4" t="inlineStr">
        <is>
          <t>البند</t>
        </is>
      </c>
      <c r="G22" s="4" t="inlineStr">
        <is>
          <t>وصف البند</t>
        </is>
      </c>
      <c r="H22" s="4" t="inlineStr">
        <is>
          <t>المواصفات</t>
        </is>
      </c>
      <c r="I22" s="9" t="inlineStr">
        <is>
          <t>منتج من القائمة الإلزامية</t>
        </is>
      </c>
      <c r="J22" s="9" t="inlineStr">
        <is>
          <t>الرمز الإنشائي</t>
        </is>
      </c>
      <c r="K22" s="9" t="inlineStr">
        <is>
          <t>مرفقات</t>
        </is>
      </c>
      <c r="L22" s="9" t="inlineStr">
        <is>
          <t>وحدة القياس</t>
        </is>
      </c>
      <c r="M22" s="9" t="inlineStr">
        <is>
          <t>الكمية</t>
        </is>
      </c>
      <c r="N22" s="20" t="inlineStr">
        <is>
          <t>سعر الوحدة</t>
        </is>
      </c>
      <c r="O22" s="20" t="inlineStr">
        <is>
          <t>الإجمالي</t>
        </is>
      </c>
      <c r="P22" s="13" t="n"/>
    </row>
    <row r="23" ht="17.55" customHeight="1">
      <c r="D23" s="21" t="n"/>
      <c r="E23" s="21" t="n"/>
      <c r="F23" s="21" t="n"/>
      <c r="G23" s="21" t="n"/>
      <c r="H23" s="21" t="n"/>
      <c r="I23" s="21" t="n"/>
      <c r="J23" s="21" t="n"/>
      <c r="K23" s="21" t="n"/>
      <c r="L23" s="21" t="n"/>
      <c r="M23" s="21" t="n"/>
      <c r="N23" s="21" t="n"/>
      <c r="O23" s="21" t="n"/>
      <c r="P23" s="13" t="n"/>
    </row>
    <row r="24" ht="34.8" customHeight="1">
      <c r="D24" s="5" t="n">
        <v>13</v>
      </c>
      <c r="E24" s="5" t="n">
        <v>13</v>
      </c>
      <c r="F24" s="5" t="inlineStr">
        <is>
          <t>غرف الكهرباء أعمال خرسانية بلوك 20سم داخلي</t>
        </is>
      </c>
      <c r="G24" s="5" t="inlineStr">
        <is>
          <t>اعمال اعتيادية مباني معمارية 13</t>
        </is>
      </c>
      <c r="H24" s="5" t="inlineStr">
        <is>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is>
      </c>
      <c r="I24" s="11" t="inlineStr">
        <is>
          <t>نعم</t>
        </is>
      </c>
      <c r="J24" s="11" t="n">
        <v>2007</v>
      </c>
      <c r="K24" s="11" t="inlineStr">
        <is>
          <t>لا يوجد مرفقات</t>
        </is>
      </c>
      <c r="L24" s="11" t="inlineStr">
        <is>
          <t>م2</t>
        </is>
      </c>
      <c r="M24" s="11" t="n">
        <v>80</v>
      </c>
      <c r="N24" s="22" t="n">
        <v>60</v>
      </c>
      <c r="O24" s="22">
        <f>N24*M24</f>
        <v/>
      </c>
      <c r="P24" s="23" t="n">
        <v>4800</v>
      </c>
    </row>
    <row r="25" ht="34.8" customHeight="1">
      <c r="D25" s="5" t="n">
        <v>14</v>
      </c>
      <c r="E25" s="5" t="n">
        <v>14</v>
      </c>
      <c r="F25" s="5" t="inlineStr">
        <is>
          <t>غرف الكهرباء أعمال خرسانة خفيفة</t>
        </is>
      </c>
      <c r="G25" s="5" t="inlineStr">
        <is>
          <t>اعمال اعتيادية مباني معمارية 14</t>
        </is>
      </c>
      <c r="H25" s="5" t="inlineStr">
        <is>
          <t>بالمتر المسطح توريد وصب خرسانة (خفيفة) لميول السطح بسمك 7 سم طبقا للمواصفات واصول الصناعة وتعليمات المهندس المشرف</t>
        </is>
      </c>
      <c r="I25" s="11" t="inlineStr">
        <is>
          <t>نعم</t>
        </is>
      </c>
      <c r="J25" s="11" t="n">
        <v>2004</v>
      </c>
      <c r="K25" s="11" t="inlineStr">
        <is>
          <t>لا يوجد مرفقات</t>
        </is>
      </c>
      <c r="L25" s="11" t="inlineStr">
        <is>
          <t>م2</t>
        </is>
      </c>
      <c r="M25" s="11" t="n">
        <v>100</v>
      </c>
      <c r="N25" s="22" t="n">
        <v>40</v>
      </c>
      <c r="O25" s="22">
        <f>N25*M25</f>
        <v/>
      </c>
      <c r="P25" s="23" t="n">
        <v>4000</v>
      </c>
    </row>
    <row r="26" ht="34.8" customHeight="1">
      <c r="D26" s="5" t="n">
        <v>15</v>
      </c>
      <c r="E26" s="5" t="n">
        <v>15</v>
      </c>
      <c r="F26" s="5" t="inlineStr">
        <is>
          <t>غرف الكهرباء أعمال دهان بيتومين ساخن</t>
        </is>
      </c>
      <c r="G26" s="5" t="inlineStr">
        <is>
          <t>اعمال اعتيادية مباني معمارية 15</t>
        </is>
      </c>
      <c r="H26" s="5" t="inlineStr">
        <is>
          <t>بالمتر المسطح توريد و دهان وجهين بالبيتومين الساخن لزوم عزل الرطوبه للاسطح حسب المخططات والمواصفات وتعليمات المهندس المشرف</t>
        </is>
      </c>
      <c r="I26" s="11" t="inlineStr">
        <is>
          <t>نعم</t>
        </is>
      </c>
      <c r="J26" s="11" t="n">
        <v>2017</v>
      </c>
      <c r="K26" s="11" t="inlineStr">
        <is>
          <t>لا يوجد مرفقات</t>
        </is>
      </c>
      <c r="L26" s="11" t="inlineStr">
        <is>
          <t>م2</t>
        </is>
      </c>
      <c r="M26" s="11" t="n">
        <v>110</v>
      </c>
      <c r="N26" s="22" t="n">
        <v>25</v>
      </c>
      <c r="O26" s="22">
        <f>N26*M26</f>
        <v/>
      </c>
      <c r="P26" s="23" t="n">
        <v>2750</v>
      </c>
    </row>
    <row r="27" ht="34.8" customHeight="1">
      <c r="D27" s="5" t="n">
        <v>16</v>
      </c>
      <c r="E27" s="5" t="n">
        <v>16</v>
      </c>
      <c r="F27" s="5" t="inlineStr">
        <is>
          <t>غرف الكهرباء أعمال شرائح بيتومين مقوى</t>
        </is>
      </c>
      <c r="G27" s="5" t="inlineStr">
        <is>
          <t>اعمال اعتيادية مباني معمارية 16</t>
        </is>
      </c>
      <c r="H27" s="5" t="inlineStr">
        <is>
          <t>بالمتر المسطح توريد وتركيب طبقتين من شرائح البيتومين المقوى بالياف البوليستر سماكة 3 مم لكل طبقة لزومسطح المبانى ومحمل عليه الوزرة الالمونيوم وخرسانة الحماية للعزل بسمك لا يقل عن 5 سم حسب المخططات والمواصفات وتعليمات المهندس المشرف</t>
        </is>
      </c>
      <c r="I27" s="11" t="inlineStr">
        <is>
          <t>نعم</t>
        </is>
      </c>
      <c r="J27" s="11" t="n">
        <v>2017</v>
      </c>
      <c r="K27" s="11" t="inlineStr">
        <is>
          <t>لا يوجد مرفقات</t>
        </is>
      </c>
      <c r="L27" s="11" t="inlineStr">
        <is>
          <t>م2</t>
        </is>
      </c>
      <c r="M27" s="11" t="n">
        <v>110</v>
      </c>
      <c r="N27" s="22" t="n">
        <v>60</v>
      </c>
      <c r="O27" s="22">
        <f>N27*M27</f>
        <v/>
      </c>
      <c r="P27" s="23" t="n">
        <v>6600</v>
      </c>
    </row>
    <row r="28" ht="34.8" customHeight="1">
      <c r="D28" s="5" t="n">
        <v>17</v>
      </c>
      <c r="E28" s="5" t="n">
        <v>17</v>
      </c>
      <c r="F28" s="5" t="inlineStr">
        <is>
          <t>غرف الكهرباء أعمال عزل</t>
        </is>
      </c>
      <c r="G28" s="5" t="inlineStr">
        <is>
          <t>اعمال اعتيادية مباني معمارية 17</t>
        </is>
      </c>
      <c r="H28" s="5" t="inlineStr">
        <is>
          <t>بالمتر المسطح توريد وتركيب طبقة عازلة للحرارة سمك 50 مم من الواح اكسترودد بوليسترين كثافة 35 كجم/ م3 للاسطح لزوم اسطح المباني</t>
        </is>
      </c>
      <c r="I28" s="11" t="inlineStr">
        <is>
          <t>نعم</t>
        </is>
      </c>
      <c r="J28" s="11" t="n">
        <v>2017</v>
      </c>
      <c r="K28" s="11" t="inlineStr">
        <is>
          <t>لا يوجد مرفقات</t>
        </is>
      </c>
      <c r="L28" s="11" t="inlineStr">
        <is>
          <t>م2</t>
        </is>
      </c>
      <c r="M28" s="11" t="n">
        <v>100</v>
      </c>
      <c r="N28" s="22" t="n">
        <v>40</v>
      </c>
      <c r="O28" s="22">
        <f>N28*M28</f>
        <v/>
      </c>
      <c r="P28" s="23" t="n">
        <v>4000</v>
      </c>
    </row>
    <row r="29" ht="34.8" customHeight="1">
      <c r="D29" s="5" t="n">
        <v>18</v>
      </c>
      <c r="E29" s="5" t="n">
        <v>18</v>
      </c>
      <c r="F29" s="5" t="inlineStr">
        <is>
          <t>غرف الكهرباء تركيب شرائح البوليثيلين</t>
        </is>
      </c>
      <c r="G29" s="5" t="inlineStr">
        <is>
          <t>اعمال اعتيادية مباني معمارية 18</t>
        </is>
      </c>
      <c r="H29" s="5" t="inlineStr">
        <is>
          <t>بالمتر المسطح توريد وتركيب طبقة من شرائح البوليثيلين سمك 200 ميكرون لزوم اسطح المباني طبقا للمواصفات وتعليمات المهندس المشرف</t>
        </is>
      </c>
      <c r="I29" s="11" t="inlineStr">
        <is>
          <t>نعم</t>
        </is>
      </c>
      <c r="J29" s="11" t="n">
        <v>2017</v>
      </c>
      <c r="K29" s="11" t="inlineStr">
        <is>
          <t>لا يوجد مرفقات</t>
        </is>
      </c>
      <c r="L29" s="11" t="inlineStr">
        <is>
          <t>م2</t>
        </is>
      </c>
      <c r="M29" s="11" t="n">
        <v>110</v>
      </c>
      <c r="N29" s="22" t="n">
        <v>10</v>
      </c>
      <c r="O29" s="22">
        <f>N29*M29</f>
        <v/>
      </c>
      <c r="P29" s="23" t="n">
        <v>1100</v>
      </c>
    </row>
    <row r="30" ht="17.55" customHeight="1">
      <c r="D30" s="4" t="inlineStr">
        <is>
          <t>الرقم التسلسلي</t>
        </is>
      </c>
      <c r="E30" s="4" t="inlineStr">
        <is>
          <t>الفئة</t>
        </is>
      </c>
      <c r="F30" s="4" t="inlineStr">
        <is>
          <t>البند</t>
        </is>
      </c>
      <c r="G30" s="4" t="inlineStr">
        <is>
          <t>وصف البند</t>
        </is>
      </c>
      <c r="H30" s="4" t="inlineStr">
        <is>
          <t>المواصفات</t>
        </is>
      </c>
      <c r="I30" s="9" t="inlineStr">
        <is>
          <t>منتج من القائمة الإلزامية</t>
        </is>
      </c>
      <c r="J30" s="9" t="inlineStr">
        <is>
          <t>الرمز الإنشائي</t>
        </is>
      </c>
      <c r="K30" s="9" t="inlineStr">
        <is>
          <t>مرفقات</t>
        </is>
      </c>
      <c r="L30" s="9" t="inlineStr">
        <is>
          <t>وحدة القياس</t>
        </is>
      </c>
      <c r="M30" s="9" t="inlineStr">
        <is>
          <t>الكمية</t>
        </is>
      </c>
      <c r="N30" s="20" t="inlineStr">
        <is>
          <t>سعر الوحدة</t>
        </is>
      </c>
      <c r="O30" s="20" t="inlineStr">
        <is>
          <t>الإجمالي</t>
        </is>
      </c>
      <c r="P30" s="13" t="n"/>
    </row>
    <row r="31" ht="17.55" customHeight="1">
      <c r="D31" s="21" t="n"/>
      <c r="E31" s="21" t="n"/>
      <c r="F31" s="21" t="n"/>
      <c r="G31" s="21" t="n"/>
      <c r="H31" s="21" t="n"/>
      <c r="I31" s="21" t="n"/>
      <c r="J31" s="21" t="n"/>
      <c r="K31" s="21" t="n"/>
      <c r="L31" s="21" t="n"/>
      <c r="M31" s="21" t="n"/>
      <c r="N31" s="21" t="n"/>
      <c r="O31" s="21" t="n"/>
      <c r="P31" s="13" t="n"/>
    </row>
    <row r="32" ht="34.8" customHeight="1">
      <c r="D32" s="5" t="n">
        <v>19</v>
      </c>
      <c r="E32" s="5" t="n">
        <v>19</v>
      </c>
      <c r="F32" s="5" t="inlineStr">
        <is>
          <t>غرف الكهرباء تركيب بلاط موزايكو</t>
        </is>
      </c>
      <c r="G32" s="5" t="inlineStr">
        <is>
          <t>اعمال اعتيادية مباني معمارية 19</t>
        </is>
      </c>
      <c r="H32" s="5" t="inlineStr">
        <is>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is>
      </c>
      <c r="I32" s="11" t="inlineStr">
        <is>
          <t>نعم</t>
        </is>
      </c>
      <c r="J32" s="11" t="n">
        <v>2041</v>
      </c>
      <c r="K32" s="11" t="inlineStr">
        <is>
          <t>لا يوجد مرفقات</t>
        </is>
      </c>
      <c r="L32" s="11" t="inlineStr">
        <is>
          <t>م2</t>
        </is>
      </c>
      <c r="M32" s="11" t="n">
        <v>100</v>
      </c>
      <c r="N32" s="22" t="n">
        <v>60</v>
      </c>
      <c r="O32" s="25">
        <f>N32*M32</f>
        <v/>
      </c>
      <c r="P32" s="23" t="n">
        <v>6000</v>
      </c>
    </row>
    <row r="33" ht="34.8" customHeight="1">
      <c r="D33" s="5" t="n">
        <v>20</v>
      </c>
      <c r="E33" s="5" t="n">
        <v>20</v>
      </c>
      <c r="F33" s="5" t="inlineStr">
        <is>
          <t>غرف الكهرباء أعمال لياسة للحوائط الداخلية</t>
        </is>
      </c>
      <c r="G33" s="5" t="inlineStr">
        <is>
          <t>اعمال اعتيادية مباني معمارية 20</t>
        </is>
      </c>
      <c r="H33" s="5" t="inlineStr">
        <is>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is>
      </c>
      <c r="I33" s="11" t="inlineStr">
        <is>
          <t>نعم</t>
        </is>
      </c>
      <c r="J33" s="11" t="n">
        <v>2049</v>
      </c>
      <c r="K33" s="11" t="inlineStr">
        <is>
          <t>لا يوجد مرفقات</t>
        </is>
      </c>
      <c r="L33" s="11" t="inlineStr">
        <is>
          <t>م2</t>
        </is>
      </c>
      <c r="M33" s="11" t="n">
        <v>400</v>
      </c>
      <c r="N33" s="22" t="n">
        <v>50</v>
      </c>
      <c r="O33" s="25">
        <f>N33*M33</f>
        <v/>
      </c>
      <c r="P33" s="23" t="n">
        <v>20000</v>
      </c>
    </row>
    <row r="34" ht="34.8" customHeight="1">
      <c r="D34" s="5" t="n">
        <v>21</v>
      </c>
      <c r="E34" s="5" t="n">
        <v>21</v>
      </c>
      <c r="F34" s="5" t="inlineStr">
        <is>
          <t>غرف الكهرباء أعمال لياسة للحوائط الخارجية</t>
        </is>
      </c>
      <c r="G34" s="5" t="inlineStr">
        <is>
          <t>اعمال اعتيادية مباني معمارية 21</t>
        </is>
      </c>
      <c r="H34" s="5" t="inlineStr">
        <is>
          <t>بالمتر المربع توريد وعمل طبقة لياسة من رمل بياض واسمنت بورتلاندى عادى بعد عمل طبقة الطرطشة الاسمنتية للحوائط الخارجية على ان تكون الطرطشة الاسمنتية مدببة وخشنة مع استخدام زوايا حديد مجلفن لزوايا المبنى وشبك ممدد للفواصل بين البلوك والخرسانات وتعمل اللياسة على بؤج واوتار طبقا لاصول الصناعة والمخططات وتعليمات المهندس المشرف 2123</t>
        </is>
      </c>
      <c r="I34" s="11" t="inlineStr">
        <is>
          <t>نعم</t>
        </is>
      </c>
      <c r="J34" s="11" t="n">
        <v>2049</v>
      </c>
      <c r="K34" s="11" t="inlineStr">
        <is>
          <t>لا يوجد مرفقات</t>
        </is>
      </c>
      <c r="L34" s="11" t="inlineStr">
        <is>
          <t>م2</t>
        </is>
      </c>
      <c r="M34" s="11" t="n">
        <v>275</v>
      </c>
      <c r="N34" s="22" t="n">
        <v>50</v>
      </c>
      <c r="O34" s="25">
        <f>N34*M34</f>
        <v/>
      </c>
      <c r="P34" s="23" t="n">
        <v>13750</v>
      </c>
    </row>
    <row r="35" ht="34.8" customHeight="1">
      <c r="D35" s="5" t="n">
        <v>22</v>
      </c>
      <c r="E35" s="5" t="n">
        <v>22</v>
      </c>
      <c r="F35" s="5" t="inlineStr">
        <is>
          <t>غرف الكهرباء أعمال دهان رشة امريكية</t>
        </is>
      </c>
      <c r="G35" s="5" t="inlineStr">
        <is>
          <t>اعمال اعتيادية مباني معمارية 22</t>
        </is>
      </c>
      <c r="H35" s="5" t="inlineStr">
        <is>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is>
      </c>
      <c r="I35" s="11" t="inlineStr">
        <is>
          <t>نعم</t>
        </is>
      </c>
      <c r="J35" s="11" t="n">
        <v>2048</v>
      </c>
      <c r="K35" s="11" t="inlineStr">
        <is>
          <t>لا يوجد مرفقات</t>
        </is>
      </c>
      <c r="L35" s="11" t="inlineStr">
        <is>
          <t>م2</t>
        </is>
      </c>
      <c r="M35" s="11" t="n">
        <v>365</v>
      </c>
      <c r="N35" s="22" t="n">
        <v>35</v>
      </c>
      <c r="O35" s="25">
        <f>N35*M35</f>
        <v/>
      </c>
      <c r="P35" s="23" t="n">
        <v>12775</v>
      </c>
    </row>
    <row r="36" ht="34.8" customHeight="1">
      <c r="D36" s="5" t="n">
        <v>23</v>
      </c>
      <c r="E36" s="5" t="n">
        <v>23</v>
      </c>
      <c r="F36" s="5" t="inlineStr">
        <is>
          <t>غرف الكهرباء أعمال دهانات بروفايل</t>
        </is>
      </c>
      <c r="G36" s="5" t="inlineStr">
        <is>
          <t>اعمال اعتيادية مباني معمارية 23</t>
        </is>
      </c>
      <c r="H36" s="5" t="inlineStr">
        <is>
          <t>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0</t>
        </is>
      </c>
      <c r="I36" s="11" t="inlineStr">
        <is>
          <t>نعم</t>
        </is>
      </c>
      <c r="J36" s="11" t="n">
        <v>2048</v>
      </c>
      <c r="K36" s="11" t="inlineStr">
        <is>
          <t>لا يوجد مرفقات</t>
        </is>
      </c>
      <c r="L36" s="11" t="inlineStr">
        <is>
          <t>م2</t>
        </is>
      </c>
      <c r="M36" s="11" t="n">
        <v>35</v>
      </c>
      <c r="N36" s="22" t="n">
        <v>50</v>
      </c>
      <c r="O36" s="25">
        <f>N36*M36</f>
        <v/>
      </c>
      <c r="P36" s="23" t="n">
        <v>1750</v>
      </c>
    </row>
    <row r="37" ht="52.2" customHeight="1">
      <c r="D37" s="5" t="n">
        <v>24</v>
      </c>
      <c r="E37" s="5" t="n">
        <v>24</v>
      </c>
      <c r="F37" s="5" t="inlineStr">
        <is>
          <t>غرف الكهرباء باب حديد ب1</t>
        </is>
      </c>
      <c r="G37" s="5" t="inlineStr">
        <is>
          <t>اعمال اعتيادية مباني معمارية 24</t>
        </is>
      </c>
      <c r="H37" s="5" t="inlineStr">
        <is>
          <t>بالعدد توريد وتركيب ابواب مفصلية من ابواب حديدية مجلفنة مقاومة للحريق لمدة 90 دقيقة ( ب1) من قطاعات الحديد يكسوها صاج من الجهتين مقاس (25×3)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is>
      </c>
      <c r="I37" s="11" t="inlineStr">
        <is>
          <t>نعم</t>
        </is>
      </c>
      <c r="J37" s="11" t="n">
        <v>2031</v>
      </c>
      <c r="K37" s="11" t="inlineStr">
        <is>
          <t>لا يوجد مرفقات</t>
        </is>
      </c>
      <c r="L37" s="11" t="inlineStr">
        <is>
          <t>عدد</t>
        </is>
      </c>
      <c r="M37" s="11" t="n">
        <v>4</v>
      </c>
      <c r="N37" s="22" t="n">
        <v>3150</v>
      </c>
      <c r="O37" s="25">
        <f>N37*M37</f>
        <v/>
      </c>
      <c r="P37" s="23" t="n">
        <v>12600</v>
      </c>
    </row>
    <row r="38">
      <c r="D38" s="4" t="inlineStr">
        <is>
          <t>الرقم التسلسلي</t>
        </is>
      </c>
      <c r="E38" s="4" t="inlineStr">
        <is>
          <t>الفئة</t>
        </is>
      </c>
      <c r="F38" s="4" t="inlineStr">
        <is>
          <t>البند</t>
        </is>
      </c>
      <c r="G38" s="4" t="inlineStr">
        <is>
          <t>وصف البند</t>
        </is>
      </c>
      <c r="H38" s="4" t="inlineStr">
        <is>
          <t>المواصفات</t>
        </is>
      </c>
      <c r="I38" s="9" t="inlineStr">
        <is>
          <t>منتج من القائمة الإلزامية</t>
        </is>
      </c>
      <c r="J38" s="9" t="inlineStr">
        <is>
          <t>الرمز الإنشائي</t>
        </is>
      </c>
      <c r="K38" s="9" t="inlineStr">
        <is>
          <t>مرفقات</t>
        </is>
      </c>
      <c r="L38" s="9" t="inlineStr">
        <is>
          <t>وحدة القياس</t>
        </is>
      </c>
      <c r="M38" s="9" t="inlineStr">
        <is>
          <t>الكمية</t>
        </is>
      </c>
      <c r="N38" s="20" t="inlineStr">
        <is>
          <t>سعر الوحدة</t>
        </is>
      </c>
      <c r="O38" s="20" t="inlineStr">
        <is>
          <t>الإجمالي</t>
        </is>
      </c>
      <c r="P38" s="13" t="n"/>
    </row>
    <row r="39">
      <c r="D39" s="21" t="n"/>
      <c r="E39" s="21" t="n"/>
      <c r="F39" s="21" t="n"/>
      <c r="G39" s="21" t="n"/>
      <c r="H39" s="21" t="n"/>
      <c r="I39" s="21" t="n"/>
      <c r="J39" s="21" t="n"/>
      <c r="K39" s="21" t="n"/>
      <c r="L39" s="21" t="n"/>
      <c r="M39" s="21" t="n"/>
      <c r="N39" s="21" t="n"/>
      <c r="O39" s="21" t="n"/>
      <c r="P39" s="13" t="n"/>
    </row>
    <row r="40" ht="52.2" customHeight="1">
      <c r="D40" s="5" t="n">
        <v>25</v>
      </c>
      <c r="E40" s="5" t="n">
        <v>25</v>
      </c>
      <c r="F40" s="5" t="inlineStr">
        <is>
          <t>غرف الكهرباء شباك الومنيوم ش1</t>
        </is>
      </c>
      <c r="G40" s="5" t="inlineStr">
        <is>
          <t>اعمال اعتيادية مباني معمارية 25</t>
        </is>
      </c>
      <c r="H40" s="5" t="inlineStr">
        <is>
          <t>بالعدد توريد وتركيب شباك الومنيوم ش1 مفصلي مقاس( 2×2 )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40" s="11" t="inlineStr">
        <is>
          <t>نعم</t>
        </is>
      </c>
      <c r="J40" s="11" t="n">
        <v>2036</v>
      </c>
      <c r="K40" s="11" t="inlineStr">
        <is>
          <t>لا يوجد مرفقات</t>
        </is>
      </c>
      <c r="L40" s="11" t="inlineStr">
        <is>
          <t>عدد</t>
        </is>
      </c>
      <c r="M40" s="11" t="n">
        <v>2</v>
      </c>
      <c r="N40" s="22" t="n">
        <v>3360</v>
      </c>
      <c r="O40" s="25">
        <f>N40*M40</f>
        <v/>
      </c>
      <c r="P40" s="23" t="n">
        <v>6720</v>
      </c>
    </row>
    <row r="41" ht="52.2" customHeight="1">
      <c r="D41" s="5" t="n">
        <v>26</v>
      </c>
      <c r="E41" s="5" t="n">
        <v>26</v>
      </c>
      <c r="F41" s="5" t="inlineStr">
        <is>
          <t>غرف الكهرباء شباك الومنيوم ش2</t>
        </is>
      </c>
      <c r="G41" s="5" t="inlineStr">
        <is>
          <t>اعمال اعتيادية مباني معمارية 26</t>
        </is>
      </c>
      <c r="H41" s="5" t="inlineStr">
        <is>
          <t>بالعدد توريد وتركيب شباك الومنيوم ش2 مفصلي مقاس( 33×2 ) م الخاص بغرفة المولد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41" s="11" t="inlineStr">
        <is>
          <t>نعم</t>
        </is>
      </c>
      <c r="J41" s="11" t="n">
        <v>2036</v>
      </c>
      <c r="K41" s="11" t="inlineStr">
        <is>
          <t>لا يوجد مرفقات</t>
        </is>
      </c>
      <c r="L41" s="11" t="inlineStr">
        <is>
          <t>عدد</t>
        </is>
      </c>
      <c r="M41" s="11" t="n">
        <v>1</v>
      </c>
      <c r="N41" s="22" t="n">
        <v>60000</v>
      </c>
      <c r="O41" s="25">
        <f>N41*M41</f>
        <v/>
      </c>
      <c r="P41" s="23" t="n">
        <v>60000</v>
      </c>
    </row>
    <row r="42" ht="34.8" customHeight="1">
      <c r="D42" s="5" t="n">
        <v>27</v>
      </c>
      <c r="E42" s="5" t="n">
        <v>27</v>
      </c>
      <c r="F42" s="5" t="inlineStr">
        <is>
          <t>غرفة المضخات مبانى من البلوك 30 سم حاوئط خارجية</t>
        </is>
      </c>
      <c r="G42" s="5" t="inlineStr">
        <is>
          <t>اعمال اعتيادية مباني معمارية 27</t>
        </is>
      </c>
      <c r="H42" s="5" t="inlineStr">
        <is>
          <t>الاعمال الاعتيادية غرفة المضخات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وكل مايلزم لنهو الأعمال حسب المخططات والمواصفات و تعليمات المهندس المشرف</t>
        </is>
      </c>
      <c r="I42" s="11" t="inlineStr">
        <is>
          <t>نعم</t>
        </is>
      </c>
      <c r="J42" s="11" t="n">
        <v>2007</v>
      </c>
      <c r="K42" s="11" t="inlineStr">
        <is>
          <t>لا يوجد مرفقات</t>
        </is>
      </c>
      <c r="L42" s="11" t="inlineStr">
        <is>
          <t>م2</t>
        </is>
      </c>
      <c r="M42" s="11" t="n">
        <v>100</v>
      </c>
      <c r="N42" s="22" t="n">
        <v>105</v>
      </c>
      <c r="O42" s="25">
        <f>N42*M42</f>
        <v/>
      </c>
      <c r="P42" s="23" t="n">
        <v>10500</v>
      </c>
    </row>
    <row r="43" ht="52.2" customHeight="1">
      <c r="D43" s="5" t="n">
        <v>28</v>
      </c>
      <c r="E43" s="5" t="n">
        <v>28</v>
      </c>
      <c r="F43" s="5" t="inlineStr">
        <is>
          <t>غرفة المضخات نظام تغطيةالأسطح</t>
        </is>
      </c>
      <c r="G43" s="5" t="inlineStr">
        <is>
          <t>اعمال اعتيادية مباني معمارية 28</t>
        </is>
      </c>
      <c r="H43" s="5" t="inlineStr">
        <is>
          <t>المتر المسطح -نظام تغطيةالأسطح يتألف من بلاطات رصف اسمنتي مقاس 300 × 300 × 25 مم مع عمل وزرة بارتفاع 100 مم على طبقة مونة سمك 20 مم فاصل عازل حرارى صلب بسمك (50مم) ، وغشاء عازل للمياه ( Membrane -EPDM ) سمك 4 مم وفرشة خرسانية خفيفة الوزن لتشكيل الميول للصرف حيثما طلبت مع تشكيل المثلث الركني للفرشة عند الأركان ومد الغشاء العازل للمياه لأعلى والحشوه المعدنيه ومواد الاحكام والتثبيت الكل حسب بالرسومات و المواصفات الفنية</t>
        </is>
      </c>
      <c r="I43" s="11" t="inlineStr">
        <is>
          <t>نعم</t>
        </is>
      </c>
      <c r="J43" s="11" t="n">
        <v>2041</v>
      </c>
      <c r="K43" s="11" t="inlineStr">
        <is>
          <t>لا يوجد مرفقات</t>
        </is>
      </c>
      <c r="L43" s="11" t="inlineStr">
        <is>
          <t>م2</t>
        </is>
      </c>
      <c r="M43" s="11" t="n">
        <v>40</v>
      </c>
      <c r="N43" s="22" t="n">
        <v>130</v>
      </c>
      <c r="O43" s="25">
        <f>N43*M43</f>
        <v/>
      </c>
      <c r="P43" s="23" t="n">
        <v>5200</v>
      </c>
    </row>
    <row r="44" ht="34.8" customHeight="1">
      <c r="D44" s="5" t="n">
        <v>29</v>
      </c>
      <c r="E44" s="5" t="n">
        <v>29</v>
      </c>
      <c r="F44" s="5" t="inlineStr">
        <is>
          <t>غرفة المضخات ابواب معدنية ب2</t>
        </is>
      </c>
      <c r="G44" s="5" t="inlineStr">
        <is>
          <t>اعمال اعتيادية مباني معمارية 29</t>
        </is>
      </c>
      <c r="H44" s="5" t="inlineStr">
        <is>
          <t>بنموذج D02 مقاس 2200 × 2200 مم</t>
        </is>
      </c>
      <c r="I44" s="11" t="inlineStr">
        <is>
          <t>نعم</t>
        </is>
      </c>
      <c r="J44" s="11" t="n">
        <v>2031</v>
      </c>
      <c r="K44" s="11" t="inlineStr">
        <is>
          <t>لا يوجد مرفقات</t>
        </is>
      </c>
      <c r="L44" s="11" t="inlineStr">
        <is>
          <t>عدد</t>
        </is>
      </c>
      <c r="M44" s="11" t="n">
        <v>1</v>
      </c>
      <c r="N44" s="22" t="n">
        <v>4000</v>
      </c>
      <c r="O44" s="25">
        <f>N44*M44</f>
        <v/>
      </c>
      <c r="P44" s="23" t="n">
        <v>4000</v>
      </c>
    </row>
    <row r="45" ht="52.2" customHeight="1">
      <c r="D45" s="5" t="n">
        <v>30</v>
      </c>
      <c r="E45" s="5" t="n">
        <v>30</v>
      </c>
      <c r="F45" s="5" t="inlineStr">
        <is>
          <t>غرفة مضخات أعمال دهانات بروفايل</t>
        </is>
      </c>
      <c r="G45" s="5" t="inlineStr">
        <is>
          <t>اعمال اعتيادية مباني معمارية 30</t>
        </is>
      </c>
      <c r="H45" s="5" t="inlineStr">
        <is>
          <t>بالمتر المسطح توريد وعمل دهانات رمادي فاتح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45" s="11" t="inlineStr">
        <is>
          <t>نعم</t>
        </is>
      </c>
      <c r="J45" s="11" t="n">
        <v>2048</v>
      </c>
      <c r="K45" s="11" t="inlineStr">
        <is>
          <t>لا يوجد مرفقات</t>
        </is>
      </c>
      <c r="L45" s="11" t="inlineStr">
        <is>
          <t>م2</t>
        </is>
      </c>
      <c r="M45" s="11" t="n">
        <v>160</v>
      </c>
      <c r="N45" s="22" t="n">
        <v>45</v>
      </c>
      <c r="O45" s="25">
        <f>N45*M45</f>
        <v/>
      </c>
      <c r="P45" s="23" t="n">
        <v>7200</v>
      </c>
    </row>
    <row r="46">
      <c r="D46" s="4" t="inlineStr">
        <is>
          <t>الرقم التسلسلي</t>
        </is>
      </c>
      <c r="E46" s="4" t="inlineStr">
        <is>
          <t>الفئة</t>
        </is>
      </c>
      <c r="F46" s="4" t="inlineStr">
        <is>
          <t>البند</t>
        </is>
      </c>
      <c r="G46" s="4" t="inlineStr">
        <is>
          <t>وصف البند</t>
        </is>
      </c>
      <c r="H46" s="4" t="inlineStr">
        <is>
          <t>المواصفات</t>
        </is>
      </c>
      <c r="I46" s="9" t="inlineStr">
        <is>
          <t>منتج من القائمة الإلزامية</t>
        </is>
      </c>
      <c r="J46" s="9" t="inlineStr">
        <is>
          <t>الرمز الإنشائي</t>
        </is>
      </c>
      <c r="K46" s="9" t="inlineStr">
        <is>
          <t>مرفقات</t>
        </is>
      </c>
      <c r="L46" s="9" t="inlineStr">
        <is>
          <t>وحدة القياس</t>
        </is>
      </c>
      <c r="M46" s="9" t="inlineStr">
        <is>
          <t>الكمية</t>
        </is>
      </c>
      <c r="N46" s="20" t="inlineStr">
        <is>
          <t>سعر الوحدة</t>
        </is>
      </c>
      <c r="O46" s="20" t="inlineStr">
        <is>
          <t>الإجمالي</t>
        </is>
      </c>
      <c r="P46" s="13" t="n"/>
    </row>
    <row r="47">
      <c r="D47" s="21" t="n"/>
      <c r="E47" s="21" t="n"/>
      <c r="F47" s="21" t="n"/>
      <c r="G47" s="21" t="n"/>
      <c r="H47" s="21" t="n"/>
      <c r="I47" s="21" t="n"/>
      <c r="J47" s="21" t="n"/>
      <c r="K47" s="21" t="n"/>
      <c r="L47" s="21" t="n"/>
      <c r="M47" s="21" t="n"/>
      <c r="N47" s="21" t="n"/>
      <c r="O47" s="21" t="n"/>
      <c r="P47" s="13" t="n"/>
    </row>
    <row r="48" ht="34.8" customHeight="1">
      <c r="D48" s="5" t="n">
        <v>31</v>
      </c>
      <c r="E48" s="5" t="n">
        <v>31</v>
      </c>
      <c r="F48" s="5" t="inlineStr">
        <is>
          <t>غرفة الحراسة أعمال خرسانية بلوك 30 سم حوائط خارجية</t>
        </is>
      </c>
      <c r="G48" s="5" t="inlineStr">
        <is>
          <t>اعمال اعتيادية مباني معمارية 31</t>
        </is>
      </c>
      <c r="H48" s="5" t="inlineStr">
        <is>
          <t>الاعمال الاعتيادية للبوابة و غرفة الحراسة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is>
      </c>
      <c r="I48" s="11" t="inlineStr">
        <is>
          <t>نعم</t>
        </is>
      </c>
      <c r="J48" s="11" t="n">
        <v>2007</v>
      </c>
      <c r="K48" s="11" t="inlineStr">
        <is>
          <t>لا يوجد مرفقات</t>
        </is>
      </c>
      <c r="L48" s="11" t="inlineStr">
        <is>
          <t>م2</t>
        </is>
      </c>
      <c r="M48" s="11" t="n">
        <v>70</v>
      </c>
      <c r="N48" s="22" t="n">
        <v>100</v>
      </c>
      <c r="O48" s="25">
        <f>N48*M48</f>
        <v/>
      </c>
      <c r="P48" s="23" t="n">
        <v>7000</v>
      </c>
    </row>
    <row r="49" ht="34.8" customHeight="1">
      <c r="D49" s="5" t="n">
        <v>32</v>
      </c>
      <c r="E49" s="5" t="n">
        <v>32</v>
      </c>
      <c r="F49" s="5" t="inlineStr">
        <is>
          <t>غرفة الحراسة أعمال خرسانية بلوك 10 سم حوائط داخلية</t>
        </is>
      </c>
      <c r="G49" s="5" t="inlineStr">
        <is>
          <t>اعمال اعتيادية مباني معمارية 32</t>
        </is>
      </c>
      <c r="H49" s="5" t="inlineStr">
        <is>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is>
      </c>
      <c r="I49" s="11" t="inlineStr">
        <is>
          <t>نعم</t>
        </is>
      </c>
      <c r="J49" s="11" t="n">
        <v>2007</v>
      </c>
      <c r="K49" s="11" t="inlineStr">
        <is>
          <t>لا يوجد مرفقات</t>
        </is>
      </c>
      <c r="L49" s="11" t="inlineStr">
        <is>
          <t>م2</t>
        </is>
      </c>
      <c r="M49" s="11" t="n">
        <v>12</v>
      </c>
      <c r="N49" s="22" t="n">
        <v>50</v>
      </c>
      <c r="O49" s="25">
        <f>N49*M49</f>
        <v/>
      </c>
      <c r="P49" s="23" t="n">
        <v>600</v>
      </c>
    </row>
    <row r="50" ht="34.8" customHeight="1">
      <c r="D50" s="5" t="n">
        <v>33</v>
      </c>
      <c r="E50" s="5" t="n">
        <v>33</v>
      </c>
      <c r="F50" s="5" t="inlineStr">
        <is>
          <t>غرفة الحراسة أعمال لياسة للحوائط الداخلية</t>
        </is>
      </c>
      <c r="G50" s="5" t="inlineStr">
        <is>
          <t>اعمال اعتيادية مباني معمارية 33</t>
        </is>
      </c>
      <c r="H50" s="5" t="inlineStr">
        <is>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is>
      </c>
      <c r="I50" s="11" t="inlineStr">
        <is>
          <t>نعم</t>
        </is>
      </c>
      <c r="J50" s="11" t="n">
        <v>2049</v>
      </c>
      <c r="K50" s="11" t="inlineStr">
        <is>
          <t>لا يوجد مرفقات</t>
        </is>
      </c>
      <c r="L50" s="11" t="inlineStr">
        <is>
          <t>م2</t>
        </is>
      </c>
      <c r="M50" s="11" t="n">
        <v>140</v>
      </c>
      <c r="N50" s="22" t="n">
        <v>45</v>
      </c>
      <c r="O50" s="25">
        <f>N50*M50</f>
        <v/>
      </c>
      <c r="P50" s="23" t="n">
        <v>6300</v>
      </c>
    </row>
    <row r="51" ht="34.8" customHeight="1">
      <c r="D51" s="5" t="n">
        <v>34</v>
      </c>
      <c r="E51" s="5" t="n">
        <v>34</v>
      </c>
      <c r="F51" s="5" t="inlineStr">
        <is>
          <t>غرفة الحراسة أعمال لياسة للحوائط الخارجية</t>
        </is>
      </c>
      <c r="G51" s="5" t="inlineStr">
        <is>
          <t>اعمال اعتيادية مباني معمارية 34</t>
        </is>
      </c>
      <c r="H51" s="5" t="inlineStr">
        <is>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is>
      </c>
      <c r="I51" s="11" t="inlineStr">
        <is>
          <t>نعم</t>
        </is>
      </c>
      <c r="J51" s="11" t="n">
        <v>2049</v>
      </c>
      <c r="K51" s="11" t="inlineStr">
        <is>
          <t>لا يوجد مرفقات</t>
        </is>
      </c>
      <c r="L51" s="11" t="inlineStr">
        <is>
          <t>م2</t>
        </is>
      </c>
      <c r="M51" s="11" t="n">
        <v>75</v>
      </c>
      <c r="N51" s="22" t="n">
        <v>45</v>
      </c>
      <c r="O51" s="25">
        <f>N51*M51</f>
        <v/>
      </c>
      <c r="P51" s="23" t="n">
        <v>3375</v>
      </c>
    </row>
    <row r="52" ht="52.2" customHeight="1">
      <c r="D52" s="5" t="n">
        <v>35</v>
      </c>
      <c r="E52" s="5" t="n">
        <v>35</v>
      </c>
      <c r="F52" s="5" t="inlineStr">
        <is>
          <t>غرفة الحراسة أعمال دهانات داخلية</t>
        </is>
      </c>
      <c r="G52" s="5" t="inlineStr">
        <is>
          <t>اعمال اعتيادية مباني معمارية 35</t>
        </is>
      </c>
      <c r="H52" s="5" t="inlineStr">
        <is>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52" s="11" t="inlineStr">
        <is>
          <t>نعم</t>
        </is>
      </c>
      <c r="J52" s="11" t="n">
        <v>2048</v>
      </c>
      <c r="K52" s="11" t="inlineStr">
        <is>
          <t>لا يوجد مرفقات</t>
        </is>
      </c>
      <c r="L52" s="11" t="inlineStr">
        <is>
          <t>م2</t>
        </is>
      </c>
      <c r="M52" s="11" t="n">
        <v>75</v>
      </c>
      <c r="N52" s="22" t="n">
        <v>35</v>
      </c>
      <c r="O52" s="25">
        <f>N52*M52</f>
        <v/>
      </c>
      <c r="P52" s="23" t="n">
        <v>2625</v>
      </c>
    </row>
    <row r="53" ht="34.8" customHeight="1">
      <c r="D53" s="5" t="n">
        <v>36</v>
      </c>
      <c r="E53" s="5" t="n">
        <v>36</v>
      </c>
      <c r="F53" s="5" t="inlineStr">
        <is>
          <t>غرفة الحراسة أعمال دهانات رشة امريكية</t>
        </is>
      </c>
      <c r="G53" s="5" t="inlineStr">
        <is>
          <t>اعمال اعتيادية مباني معمارية 36</t>
        </is>
      </c>
      <c r="H53" s="5" t="inlineStr">
        <is>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53" s="11" t="inlineStr">
        <is>
          <t>نعم</t>
        </is>
      </c>
      <c r="J53" s="11" t="n">
        <v>2048</v>
      </c>
      <c r="K53" s="11" t="inlineStr">
        <is>
          <t>لا يوجد مرفقات</t>
        </is>
      </c>
      <c r="L53" s="11" t="inlineStr">
        <is>
          <t>م2</t>
        </is>
      </c>
      <c r="M53" s="11" t="n">
        <v>17</v>
      </c>
      <c r="N53" s="22" t="n">
        <v>45</v>
      </c>
      <c r="O53" s="25">
        <f>N53*M53</f>
        <v/>
      </c>
      <c r="P53" s="23" t="n">
        <v>765</v>
      </c>
    </row>
    <row r="54">
      <c r="D54" s="4" t="inlineStr">
        <is>
          <t>الرقم التسلسلي</t>
        </is>
      </c>
      <c r="E54" s="4" t="inlineStr">
        <is>
          <t>الفئة</t>
        </is>
      </c>
      <c r="F54" s="4" t="inlineStr">
        <is>
          <t>البند</t>
        </is>
      </c>
      <c r="G54" s="4" t="inlineStr">
        <is>
          <t>وصف البند</t>
        </is>
      </c>
      <c r="H54" s="4" t="inlineStr">
        <is>
          <t>المواصفات</t>
        </is>
      </c>
      <c r="I54" s="9" t="inlineStr">
        <is>
          <t>منتج من القائمة الإلزامية</t>
        </is>
      </c>
      <c r="J54" s="9" t="inlineStr">
        <is>
          <t>الرمز الإنشائي</t>
        </is>
      </c>
      <c r="K54" s="9" t="inlineStr">
        <is>
          <t>مرفقات</t>
        </is>
      </c>
      <c r="L54" s="9" t="inlineStr">
        <is>
          <t>وحدة القياس</t>
        </is>
      </c>
      <c r="M54" s="9" t="inlineStr">
        <is>
          <t>الكمية</t>
        </is>
      </c>
      <c r="N54" s="20" t="inlineStr">
        <is>
          <t>سعر الوحدة</t>
        </is>
      </c>
      <c r="O54" s="20" t="inlineStr">
        <is>
          <t>الإجمالي</t>
        </is>
      </c>
      <c r="P54" s="13" t="n"/>
    </row>
    <row r="55">
      <c r="D55" s="21" t="n"/>
      <c r="E55" s="21" t="n"/>
      <c r="F55" s="21" t="n"/>
      <c r="G55" s="21" t="n"/>
      <c r="H55" s="21" t="n"/>
      <c r="I55" s="21" t="n"/>
      <c r="J55" s="21" t="n"/>
      <c r="K55" s="21" t="n"/>
      <c r="L55" s="21" t="n"/>
      <c r="M55" s="21" t="n"/>
      <c r="N55" s="21" t="n"/>
      <c r="O55" s="21" t="n"/>
      <c r="P55" s="13" t="n"/>
    </row>
    <row r="56" ht="34.8" customHeight="1">
      <c r="D56" s="5" t="n">
        <v>37</v>
      </c>
      <c r="E56" s="5" t="n">
        <v>37</v>
      </c>
      <c r="F56" s="5" t="inlineStr">
        <is>
          <t>غرفة الحراسة أعمال دهانات بروفايل</t>
        </is>
      </c>
      <c r="G56" s="5" t="inlineStr">
        <is>
          <t>اعمال اعتيادية مباني معمارية 37</t>
        </is>
      </c>
      <c r="H56" s="5" t="inlineStr">
        <is>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56" s="11" t="inlineStr">
        <is>
          <t>نعم</t>
        </is>
      </c>
      <c r="J56" s="11" t="n">
        <v>2048</v>
      </c>
      <c r="K56" s="11" t="inlineStr">
        <is>
          <t>لا يوجد مرفقات</t>
        </is>
      </c>
      <c r="L56" s="11" t="inlineStr">
        <is>
          <t>م2</t>
        </is>
      </c>
      <c r="M56" s="11" t="n">
        <v>140</v>
      </c>
      <c r="N56" s="22" t="n">
        <v>45</v>
      </c>
      <c r="O56" s="25">
        <f>N56*M56</f>
        <v/>
      </c>
      <c r="P56" s="23" t="n">
        <v>6300</v>
      </c>
    </row>
    <row r="57" ht="34.8" customHeight="1">
      <c r="D57" s="5" t="n">
        <v>38</v>
      </c>
      <c r="E57" s="5" t="n">
        <v>38</v>
      </c>
      <c r="F57" s="5" t="inlineStr">
        <is>
          <t>غرفة الحراسة أعمال دهانات للتغطية المعدنية</t>
        </is>
      </c>
      <c r="G57" s="5" t="inlineStr">
        <is>
          <t>اعمال اعتيادية مباني معمارية 38</t>
        </is>
      </c>
      <c r="H57" s="5" t="inlineStr">
        <is>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57" s="11" t="inlineStr">
        <is>
          <t>نعم</t>
        </is>
      </c>
      <c r="J57" s="11" t="n">
        <v>2048</v>
      </c>
      <c r="K57" s="11" t="inlineStr">
        <is>
          <t>لا يوجد مرفقات</t>
        </is>
      </c>
      <c r="L57" s="11" t="inlineStr">
        <is>
          <t>م2</t>
        </is>
      </c>
      <c r="M57" s="11" t="n">
        <v>225</v>
      </c>
      <c r="N57" s="22" t="n">
        <v>45</v>
      </c>
      <c r="O57" s="25">
        <f>N57*M57</f>
        <v/>
      </c>
      <c r="P57" s="23" t="n">
        <v>10125</v>
      </c>
    </row>
    <row r="58" ht="34.8" customHeight="1">
      <c r="D58" s="5" t="n">
        <v>39</v>
      </c>
      <c r="E58" s="5" t="n">
        <v>39</v>
      </c>
      <c r="F58" s="5" t="inlineStr">
        <is>
          <t>غرفة الحراسة تركيب سفل جرانيت</t>
        </is>
      </c>
      <c r="G58" s="5" t="inlineStr">
        <is>
          <t>اعمال اعتيادية مباني معمارية 39</t>
        </is>
      </c>
      <c r="H58" s="5" t="inlineStr">
        <is>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is>
      </c>
      <c r="I58" s="11" t="inlineStr">
        <is>
          <t>نعم</t>
        </is>
      </c>
      <c r="J58" s="11" t="n">
        <v>2041</v>
      </c>
      <c r="K58" s="11" t="inlineStr">
        <is>
          <t>لا يوجد مرفقات</t>
        </is>
      </c>
      <c r="L58" s="11" t="inlineStr">
        <is>
          <t>مط</t>
        </is>
      </c>
      <c r="M58" s="11" t="n">
        <v>20</v>
      </c>
      <c r="N58" s="22" t="n">
        <v>250</v>
      </c>
      <c r="O58" s="25">
        <f>N58*M58</f>
        <v/>
      </c>
      <c r="P58" s="23" t="n">
        <v>5000</v>
      </c>
    </row>
    <row r="59" ht="52.2" customHeight="1">
      <c r="D59" s="5" t="n">
        <v>40</v>
      </c>
      <c r="E59" s="5" t="n">
        <v>40</v>
      </c>
      <c r="F59" s="5" t="inlineStr">
        <is>
          <t>غرفة الحراسة تركيب بلاط بورسيلان</t>
        </is>
      </c>
      <c r="G59" s="5" t="inlineStr">
        <is>
          <t>اعمال اعتيادية مباني معمارية 40</t>
        </is>
      </c>
      <c r="H59" s="5" t="inlineStr">
        <is>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is>
      </c>
      <c r="I59" s="11" t="inlineStr">
        <is>
          <t>نعم</t>
        </is>
      </c>
      <c r="J59" s="11" t="n">
        <v>2041</v>
      </c>
      <c r="K59" s="11" t="inlineStr">
        <is>
          <t>لا يوجد مرفقات</t>
        </is>
      </c>
      <c r="L59" s="11" t="inlineStr">
        <is>
          <t>م2</t>
        </is>
      </c>
      <c r="M59" s="11" t="n">
        <v>16</v>
      </c>
      <c r="N59" s="22" t="n">
        <v>70</v>
      </c>
      <c r="O59" s="25">
        <f>N59*M59</f>
        <v/>
      </c>
      <c r="P59" s="23" t="n">
        <v>1120</v>
      </c>
    </row>
    <row r="60" ht="52.2" customHeight="1">
      <c r="D60" s="5" t="n">
        <v>41</v>
      </c>
      <c r="E60" s="5" t="n">
        <v>41</v>
      </c>
      <c r="F60" s="5" t="inlineStr">
        <is>
          <t>غرفة الحراسة تركيب بلاط سيراميك</t>
        </is>
      </c>
      <c r="G60" s="5" t="inlineStr">
        <is>
          <t>اعمال اعتيادية مباني معمارية 41</t>
        </is>
      </c>
      <c r="H60" s="5" t="inlineStr">
        <is>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is>
      </c>
      <c r="I60" s="11" t="inlineStr">
        <is>
          <t>نعم</t>
        </is>
      </c>
      <c r="J60" s="11" t="n">
        <v>2041</v>
      </c>
      <c r="K60" s="11" t="inlineStr">
        <is>
          <t>لا يوجد مرفقات</t>
        </is>
      </c>
      <c r="L60" s="11" t="inlineStr">
        <is>
          <t>م2</t>
        </is>
      </c>
      <c r="M60" s="11" t="n">
        <v>3</v>
      </c>
      <c r="N60" s="22" t="n">
        <v>70</v>
      </c>
      <c r="O60" s="25">
        <f>N60*M60</f>
        <v/>
      </c>
      <c r="P60" s="23" t="n">
        <v>210</v>
      </c>
    </row>
    <row r="61" ht="52.2" customHeight="1">
      <c r="D61" s="5" t="n">
        <v>42</v>
      </c>
      <c r="E61" s="5" t="n">
        <v>42</v>
      </c>
      <c r="F61" s="5" t="inlineStr">
        <is>
          <t>غرفة الحراسة تركيب حوائط سيراميك</t>
        </is>
      </c>
      <c r="G61" s="5" t="inlineStr">
        <is>
          <t>اعمال اعتيادية مباني معمارية 42</t>
        </is>
      </c>
      <c r="H61" s="5" t="inlineStr">
        <is>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is>
      </c>
      <c r="I61" s="11" t="inlineStr">
        <is>
          <t>نعم</t>
        </is>
      </c>
      <c r="J61" s="11" t="n">
        <v>2041</v>
      </c>
      <c r="K61" s="11" t="inlineStr">
        <is>
          <t>لا يوجد مرفقات</t>
        </is>
      </c>
      <c r="L61" s="11" t="inlineStr">
        <is>
          <t>م2</t>
        </is>
      </c>
      <c r="M61" s="11" t="n">
        <v>23</v>
      </c>
      <c r="N61" s="22" t="n">
        <v>70</v>
      </c>
      <c r="O61" s="25">
        <f>N61*M61</f>
        <v/>
      </c>
      <c r="P61" s="23" t="n">
        <v>1610</v>
      </c>
    </row>
    <row r="62">
      <c r="D62" s="4" t="inlineStr">
        <is>
          <t>لرقم التسلسلي</t>
        </is>
      </c>
      <c r="E62" s="4" t="inlineStr">
        <is>
          <t>الفئة</t>
        </is>
      </c>
      <c r="F62" s="4" t="inlineStr">
        <is>
          <t>البند</t>
        </is>
      </c>
      <c r="G62" s="4" t="inlineStr">
        <is>
          <t>وصف البند</t>
        </is>
      </c>
      <c r="H62" s="4" t="inlineStr">
        <is>
          <t>المواصفات</t>
        </is>
      </c>
      <c r="I62" s="9" t="inlineStr">
        <is>
          <t>منتج من القائمة الإلزامية</t>
        </is>
      </c>
      <c r="J62" s="9" t="inlineStr">
        <is>
          <t>الرمز الإنشائي</t>
        </is>
      </c>
      <c r="K62" s="9" t="inlineStr">
        <is>
          <t>مرفقات</t>
        </is>
      </c>
      <c r="L62" s="9" t="inlineStr">
        <is>
          <t>وحدة القياس</t>
        </is>
      </c>
      <c r="M62" s="9" t="inlineStr">
        <is>
          <t>الكمية</t>
        </is>
      </c>
      <c r="N62" s="20" t="inlineStr">
        <is>
          <t>سعر الوحدة</t>
        </is>
      </c>
      <c r="O62" s="20" t="inlineStr">
        <is>
          <t>الإجمالي</t>
        </is>
      </c>
      <c r="P62" s="13" t="n"/>
    </row>
    <row r="63">
      <c r="D63" s="21" t="n"/>
      <c r="E63" s="21" t="n"/>
      <c r="F63" s="21" t="n"/>
      <c r="G63" s="21" t="n"/>
      <c r="H63" s="21" t="n"/>
      <c r="I63" s="21" t="n"/>
      <c r="J63" s="21" t="n"/>
      <c r="K63" s="21" t="n"/>
      <c r="L63" s="21" t="n"/>
      <c r="M63" s="21" t="n"/>
      <c r="N63" s="21" t="n"/>
      <c r="O63" s="21" t="n"/>
      <c r="P63" s="13" t="n"/>
    </row>
    <row r="64" ht="34.8" customHeight="1">
      <c r="D64" s="5" t="n">
        <v>43</v>
      </c>
      <c r="E64" s="5" t="n">
        <v>43</v>
      </c>
      <c r="F64" s="5" t="inlineStr">
        <is>
          <t>غرفة الحراسة أعمال خرسانه خفيفة</t>
        </is>
      </c>
      <c r="G64" s="5" t="inlineStr">
        <is>
          <t>اعمال اعتيادية مباني معمارية 43</t>
        </is>
      </c>
      <c r="H64" s="5" t="inlineStr">
        <is>
          <t>بالمتر المسطح توريد وصب خرسانة (خفيفة) لميول الاسطح بسمك 7 سم طبقا للمواصفات واصول الصناعة وتعليمات المهندس المشرف</t>
        </is>
      </c>
      <c r="I64" s="11" t="inlineStr">
        <is>
          <t>نعم</t>
        </is>
      </c>
      <c r="J64" s="11" t="n">
        <v>2004</v>
      </c>
      <c r="K64" s="11" t="inlineStr">
        <is>
          <t>لا يوجد مرفقات</t>
        </is>
      </c>
      <c r="L64" s="11" t="inlineStr">
        <is>
          <t>م2</t>
        </is>
      </c>
      <c r="M64" s="11" t="n">
        <v>20</v>
      </c>
      <c r="N64" s="22" t="n">
        <v>35</v>
      </c>
      <c r="O64" s="25">
        <f>N64*M64</f>
        <v/>
      </c>
      <c r="P64" s="23" t="n">
        <v>700</v>
      </c>
    </row>
    <row r="65" ht="34.8" customHeight="1">
      <c r="D65" s="5" t="n">
        <v>44</v>
      </c>
      <c r="E65" s="5" t="n">
        <v>44</v>
      </c>
      <c r="F65" s="5" t="inlineStr">
        <is>
          <t>غرفة الحراسة أعمال دهان بيتومين</t>
        </is>
      </c>
      <c r="G65" s="5" t="inlineStr">
        <is>
          <t>اعمال اعتيادية مباني معمارية 44</t>
        </is>
      </c>
      <c r="H65" s="5" t="inlineStr">
        <is>
          <t>بالمتر المسطح توريد و دهان وجهين بالبيتومين الساخن لزوم عزل الرطوبه الاسطح حسب المخططات والمواصفات وتعليمات المهندس المشرف</t>
        </is>
      </c>
      <c r="I65" s="11" t="inlineStr">
        <is>
          <t>نعم</t>
        </is>
      </c>
      <c r="J65" s="11" t="n">
        <v>2017</v>
      </c>
      <c r="K65" s="11" t="inlineStr">
        <is>
          <t>لا يوجد مرفقات</t>
        </is>
      </c>
      <c r="L65" s="11" t="inlineStr">
        <is>
          <t>م2</t>
        </is>
      </c>
      <c r="M65" s="11" t="n">
        <v>20</v>
      </c>
      <c r="N65" s="22" t="n">
        <v>25</v>
      </c>
      <c r="O65" s="25">
        <f>N65*M65</f>
        <v/>
      </c>
      <c r="P65" s="23" t="n">
        <v>500</v>
      </c>
    </row>
    <row r="66" ht="34.8" customHeight="1">
      <c r="D66" s="5" t="n">
        <v>45</v>
      </c>
      <c r="E66" s="5" t="n">
        <v>45</v>
      </c>
      <c r="F66" s="5" t="inlineStr">
        <is>
          <t>غرفة الحراسة تركيب شرائح بيتومين مقوى</t>
        </is>
      </c>
      <c r="G66" s="5" t="inlineStr">
        <is>
          <t>اعمال اعتيادية مباني معمارية 45</t>
        </is>
      </c>
      <c r="H66" s="5" t="inlineStr">
        <is>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is>
      </c>
      <c r="I66" s="11" t="inlineStr">
        <is>
          <t>نعم</t>
        </is>
      </c>
      <c r="J66" s="11" t="n">
        <v>2017</v>
      </c>
      <c r="K66" s="11" t="inlineStr">
        <is>
          <t>لا يوجد مرفقات</t>
        </is>
      </c>
      <c r="L66" s="11" t="inlineStr">
        <is>
          <t>م2</t>
        </is>
      </c>
      <c r="M66" s="11" t="n">
        <v>20</v>
      </c>
      <c r="N66" s="22" t="n">
        <v>50</v>
      </c>
      <c r="O66" s="25">
        <f>N66*M66</f>
        <v/>
      </c>
      <c r="P66" s="23" t="n">
        <v>1000</v>
      </c>
    </row>
    <row r="67" ht="34.8" customHeight="1">
      <c r="D67" s="5" t="n">
        <v>46</v>
      </c>
      <c r="E67" s="5" t="n">
        <v>46</v>
      </c>
      <c r="F67" s="5" t="inlineStr">
        <is>
          <t>غرفة الحراسة أعمال عزل</t>
        </is>
      </c>
      <c r="G67" s="5" t="inlineStr">
        <is>
          <t>اعمال اعتيادية مباني معمارية 46</t>
        </is>
      </c>
      <c r="H67" s="5" t="inlineStr">
        <is>
          <t>بالمتر المسطح توريد وتركيب طبقة عازلة للحرارة سمك 50 مم من الواح اكسترودد بوليسترين كثافة 35 كجم/ م3 للاسطح لزوم اسطح المباني</t>
        </is>
      </c>
      <c r="I67" s="11" t="inlineStr">
        <is>
          <t>نعم</t>
        </is>
      </c>
      <c r="J67" s="11" t="n">
        <v>2017</v>
      </c>
      <c r="K67" s="11" t="inlineStr">
        <is>
          <t>لا يوجد مرفقات</t>
        </is>
      </c>
      <c r="L67" s="11" t="inlineStr">
        <is>
          <t>م2</t>
        </is>
      </c>
      <c r="M67" s="11" t="n">
        <v>20</v>
      </c>
      <c r="N67" s="22" t="n">
        <v>40</v>
      </c>
      <c r="O67" s="25">
        <f>N67*M67</f>
        <v/>
      </c>
      <c r="P67" s="23" t="n">
        <v>800</v>
      </c>
    </row>
    <row r="68" ht="34.8" customHeight="1">
      <c r="D68" s="5" t="n">
        <v>47</v>
      </c>
      <c r="E68" s="5" t="n">
        <v>47</v>
      </c>
      <c r="F68" s="5" t="inlineStr">
        <is>
          <t>غرفة الحراسة تركيب شرائح بوليثيلين</t>
        </is>
      </c>
      <c r="G68" s="5" t="inlineStr">
        <is>
          <t>اعمال اعتيادية مباني معمارية 47</t>
        </is>
      </c>
      <c r="H68" s="5" t="inlineStr">
        <is>
          <t>بالمتر المسطح توريد وتركيب طبقة من شرائح البوليثيلين سمك 200 ميكرون لزوم اسطح المباني طبقا للمواصفات وتعليمات المهندس المشرف</t>
        </is>
      </c>
      <c r="I68" s="11" t="inlineStr">
        <is>
          <t>نعم</t>
        </is>
      </c>
      <c r="J68" s="11" t="n">
        <v>2017</v>
      </c>
      <c r="K68" s="11" t="inlineStr">
        <is>
          <t>لا يوجد مرفقات</t>
        </is>
      </c>
      <c r="L68" s="11" t="inlineStr">
        <is>
          <t>م2</t>
        </is>
      </c>
      <c r="M68" s="11" t="n">
        <v>20</v>
      </c>
      <c r="N68" s="22" t="n">
        <v>7</v>
      </c>
      <c r="O68" s="25">
        <f>N68*M68</f>
        <v/>
      </c>
      <c r="P68" s="23" t="n">
        <v>140</v>
      </c>
    </row>
    <row r="69" ht="34.8" customHeight="1">
      <c r="D69" s="5" t="n">
        <v>48</v>
      </c>
      <c r="E69" s="5" t="n">
        <v>48</v>
      </c>
      <c r="F69" s="5" t="inlineStr">
        <is>
          <t>غرفة الحراسة أعمال عزل للرطوبة</t>
        </is>
      </c>
      <c r="G69" s="5" t="inlineStr">
        <is>
          <t>اعمال اعتيادية مباني معمارية 48</t>
        </is>
      </c>
      <c r="H69" s="5" t="inlineStr">
        <is>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is>
      </c>
      <c r="I69" s="11" t="inlineStr">
        <is>
          <t>نعم</t>
        </is>
      </c>
      <c r="J69" s="11" t="n">
        <v>2017</v>
      </c>
      <c r="K69" s="11" t="inlineStr">
        <is>
          <t>لا يوجد مرفقات</t>
        </is>
      </c>
      <c r="L69" s="11" t="inlineStr">
        <is>
          <t>م2</t>
        </is>
      </c>
      <c r="M69" s="11" t="n">
        <v>20</v>
      </c>
      <c r="N69" s="22" t="n">
        <v>105</v>
      </c>
      <c r="O69" s="25">
        <f>N69*M69</f>
        <v/>
      </c>
      <c r="P69" s="23" t="n">
        <v>2100</v>
      </c>
    </row>
    <row r="70">
      <c r="D70" s="4" t="inlineStr">
        <is>
          <t>الرقم التسلسلي</t>
        </is>
      </c>
      <c r="E70" s="4" t="inlineStr">
        <is>
          <t>الفئة</t>
        </is>
      </c>
      <c r="F70" s="4" t="inlineStr">
        <is>
          <t>البند</t>
        </is>
      </c>
      <c r="G70" s="4" t="inlineStr">
        <is>
          <t>وصف البند</t>
        </is>
      </c>
      <c r="H70" s="4" t="inlineStr">
        <is>
          <t>المواصفات</t>
        </is>
      </c>
      <c r="I70" s="9" t="inlineStr">
        <is>
          <t>منتج من القائمة الإلزامية</t>
        </is>
      </c>
      <c r="J70" s="9" t="inlineStr">
        <is>
          <t>الرمز الإنشائي</t>
        </is>
      </c>
      <c r="K70" s="9" t="inlineStr">
        <is>
          <t>مرفقات</t>
        </is>
      </c>
      <c r="L70" s="9" t="inlineStr">
        <is>
          <t>وحدة القياس</t>
        </is>
      </c>
      <c r="M70" s="9" t="inlineStr">
        <is>
          <t>الكمية</t>
        </is>
      </c>
      <c r="N70" s="20" t="inlineStr">
        <is>
          <t>سعر الوحدة</t>
        </is>
      </c>
      <c r="O70" s="20" t="inlineStr">
        <is>
          <t>الإجمالي</t>
        </is>
      </c>
      <c r="P70" s="13" t="n"/>
    </row>
    <row r="71">
      <c r="D71" s="21" t="n"/>
      <c r="E71" s="21" t="n"/>
      <c r="F71" s="21" t="n"/>
      <c r="G71" s="21" t="n"/>
      <c r="H71" s="21" t="n"/>
      <c r="I71" s="21" t="n"/>
      <c r="J71" s="21" t="n"/>
      <c r="K71" s="21" t="n"/>
      <c r="L71" s="21" t="n"/>
      <c r="M71" s="21" t="n"/>
      <c r="N71" s="21" t="n"/>
      <c r="O71" s="21" t="n"/>
      <c r="P71" s="13" t="n"/>
    </row>
    <row r="72" ht="34.8" customHeight="1">
      <c r="D72" s="5" t="n">
        <v>49</v>
      </c>
      <c r="E72" s="5" t="n">
        <v>49</v>
      </c>
      <c r="F72" s="5" t="inlineStr">
        <is>
          <t>غرفة الحراسة تركيب بلاط موزايكو</t>
        </is>
      </c>
      <c r="G72" s="5" t="inlineStr">
        <is>
          <t>اعمال اعتيادية مباني معمارية 49</t>
        </is>
      </c>
      <c r="H72" s="5" t="inlineStr">
        <is>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is>
      </c>
      <c r="I72" s="11" t="inlineStr">
        <is>
          <t>نعم</t>
        </is>
      </c>
      <c r="J72" s="11" t="n">
        <v>2041</v>
      </c>
      <c r="K72" s="11" t="inlineStr">
        <is>
          <t>لا يوجد مرفقات</t>
        </is>
      </c>
      <c r="L72" s="11" t="inlineStr">
        <is>
          <t>م2</t>
        </is>
      </c>
      <c r="M72" s="11" t="n">
        <v>20</v>
      </c>
      <c r="N72" s="22" t="n">
        <v>70</v>
      </c>
      <c r="O72" s="25">
        <f>N72*M72</f>
        <v/>
      </c>
      <c r="P72" s="23" t="n">
        <v>1400</v>
      </c>
    </row>
    <row r="73" ht="34.8" customHeight="1">
      <c r="D73" s="5" t="n">
        <v>50</v>
      </c>
      <c r="E73" s="5" t="n">
        <v>50</v>
      </c>
      <c r="F73" s="5" t="inlineStr">
        <is>
          <t>غرفة الحراسة باب خشب ب1</t>
        </is>
      </c>
      <c r="G73" s="5" t="inlineStr">
        <is>
          <t>اعمال اعتيادية مباني معمارية 50</t>
        </is>
      </c>
      <c r="H73" s="5" t="inlineStr">
        <is>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is>
      </c>
      <c r="I73" s="11" t="inlineStr">
        <is>
          <t>نعم</t>
        </is>
      </c>
      <c r="J73" s="11" t="n">
        <v>2031</v>
      </c>
      <c r="K73" s="11" t="inlineStr">
        <is>
          <t>لا يوجد مرفقات</t>
        </is>
      </c>
      <c r="L73" s="11" t="inlineStr">
        <is>
          <t>عدد</t>
        </is>
      </c>
      <c r="M73" s="11" t="n">
        <v>1</v>
      </c>
      <c r="N73" s="22" t="n">
        <v>3150</v>
      </c>
      <c r="O73" s="25">
        <f>N73*M73</f>
        <v/>
      </c>
      <c r="P73" s="23" t="n">
        <v>3150</v>
      </c>
    </row>
    <row r="74" ht="52.2" customHeight="1">
      <c r="D74" s="5" t="n">
        <v>51</v>
      </c>
      <c r="E74" s="5" t="n">
        <v>51</v>
      </c>
      <c r="F74" s="5" t="inlineStr">
        <is>
          <t>غرفة الحراسة ابواب ب2</t>
        </is>
      </c>
      <c r="G74" s="5" t="inlineStr">
        <is>
          <t>اعمال اعتيادية مباني معمارية 51</t>
        </is>
      </c>
      <c r="H74" s="5" t="inlineStr">
        <is>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is>
      </c>
      <c r="I74" s="11" t="inlineStr">
        <is>
          <t>نعم</t>
        </is>
      </c>
      <c r="J74" s="11" t="n">
        <v>2031</v>
      </c>
      <c r="K74" s="11" t="inlineStr">
        <is>
          <t>لا يوجد مرفقات</t>
        </is>
      </c>
      <c r="L74" s="11" t="inlineStr">
        <is>
          <t>عدد</t>
        </is>
      </c>
      <c r="M74" s="11" t="n">
        <v>1</v>
      </c>
      <c r="N74" s="22" t="n">
        <v>2380</v>
      </c>
      <c r="O74" s="25">
        <f>N74*M74</f>
        <v/>
      </c>
      <c r="P74" s="23" t="n">
        <v>2380</v>
      </c>
    </row>
    <row r="75" ht="52.2" customHeight="1">
      <c r="D75" s="5" t="n">
        <v>52</v>
      </c>
      <c r="E75" s="5" t="n">
        <v>52</v>
      </c>
      <c r="F75" s="5" t="inlineStr">
        <is>
          <t>غرفة الحراسة شباك الومنيوم ش2</t>
        </is>
      </c>
      <c r="G75" s="5" t="inlineStr">
        <is>
          <t>اعمال اعتيادية مباني معمارية 52</t>
        </is>
      </c>
      <c r="H75" s="5" t="inlineStr">
        <is>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75" s="11" t="inlineStr">
        <is>
          <t>نعم</t>
        </is>
      </c>
      <c r="J75" s="11" t="n">
        <v>2036</v>
      </c>
      <c r="K75" s="11" t="inlineStr">
        <is>
          <t>لا يوجد مرفقات</t>
        </is>
      </c>
      <c r="L75" s="11" t="inlineStr">
        <is>
          <t>عدد</t>
        </is>
      </c>
      <c r="M75" s="11" t="n">
        <v>2</v>
      </c>
      <c r="N75" s="22" t="n">
        <v>1890</v>
      </c>
      <c r="O75" s="25">
        <f>N75*M75</f>
        <v/>
      </c>
      <c r="P75" s="23" t="n">
        <v>3780</v>
      </c>
    </row>
    <row r="76" ht="34.8" customHeight="1">
      <c r="D76" s="5" t="n">
        <v>53</v>
      </c>
      <c r="E76" s="5" t="n">
        <v>53</v>
      </c>
      <c r="F76" s="5" t="inlineStr">
        <is>
          <t>سكن العمال أعمال خرسانية بلوك 30 سم حوائط خارجية</t>
        </is>
      </c>
      <c r="G76" s="5" t="inlineStr">
        <is>
          <t>اعمال اعتيادية مباني معمارية 53</t>
        </is>
      </c>
      <c r="H76" s="5" t="inlineStr">
        <is>
          <t>الاعمال الاعتيادية لسكن العمال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2017 - 2004</t>
        </is>
      </c>
      <c r="I76" s="11" t="inlineStr">
        <is>
          <t>نعم</t>
        </is>
      </c>
      <c r="J76" s="11" t="n">
        <v>2007</v>
      </c>
      <c r="K76" s="11" t="inlineStr">
        <is>
          <t>لا يوجد مرفقات</t>
        </is>
      </c>
      <c r="L76" s="11" t="inlineStr">
        <is>
          <t>م2</t>
        </is>
      </c>
      <c r="M76" s="11" t="n">
        <v>300</v>
      </c>
      <c r="N76" s="22" t="n">
        <v>105</v>
      </c>
      <c r="O76" s="25">
        <f>N76*M76</f>
        <v/>
      </c>
      <c r="P76" s="23" t="n">
        <v>31500</v>
      </c>
    </row>
    <row r="77" ht="34.8" customHeight="1">
      <c r="D77" s="5" t="n">
        <v>54</v>
      </c>
      <c r="E77" s="5" t="n">
        <v>54</v>
      </c>
      <c r="F77" s="5" t="inlineStr">
        <is>
          <t>سكن العمال أعمال خرسانية بلوك 20 سم حوائط داخلية</t>
        </is>
      </c>
      <c r="G77" s="5" t="inlineStr">
        <is>
          <t>اعمال اعتيادية مباني معمارية 54</t>
        </is>
      </c>
      <c r="H77" s="5" t="inlineStr">
        <is>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is>
      </c>
      <c r="I77" s="11" t="inlineStr">
        <is>
          <t>نعم</t>
        </is>
      </c>
      <c r="J77" s="11" t="n">
        <v>2007</v>
      </c>
      <c r="K77" s="11" t="inlineStr">
        <is>
          <t>لا يوجد مرفقات</t>
        </is>
      </c>
      <c r="L77" s="11" t="inlineStr">
        <is>
          <t>م2</t>
        </is>
      </c>
      <c r="M77" s="11" t="n">
        <v>195</v>
      </c>
      <c r="N77" s="22" t="n">
        <v>55</v>
      </c>
      <c r="O77" s="25">
        <f>N77*M77</f>
        <v/>
      </c>
      <c r="P77" s="23" t="n">
        <v>10725</v>
      </c>
    </row>
    <row r="78">
      <c r="D78" s="4" t="inlineStr">
        <is>
          <t>الرقم التسلسلي</t>
        </is>
      </c>
      <c r="E78" s="4" t="inlineStr">
        <is>
          <t>الفئة</t>
        </is>
      </c>
      <c r="F78" s="4" t="inlineStr">
        <is>
          <t>البند</t>
        </is>
      </c>
      <c r="G78" s="4" t="inlineStr">
        <is>
          <t>وصف البند</t>
        </is>
      </c>
      <c r="H78" s="4" t="inlineStr">
        <is>
          <t>المواصفات</t>
        </is>
      </c>
      <c r="I78" s="9" t="inlineStr">
        <is>
          <t>منتج من القائمة الإلزامية</t>
        </is>
      </c>
      <c r="J78" s="9" t="inlineStr">
        <is>
          <t>الرمز الإنشائي</t>
        </is>
      </c>
      <c r="K78" s="9" t="inlineStr">
        <is>
          <t>مرفقات</t>
        </is>
      </c>
      <c r="L78" s="9" t="inlineStr">
        <is>
          <t>وحدة القياس</t>
        </is>
      </c>
      <c r="M78" s="9" t="inlineStr">
        <is>
          <t>الكمية</t>
        </is>
      </c>
      <c r="N78" s="20" t="inlineStr">
        <is>
          <t>سعر الوحدة</t>
        </is>
      </c>
      <c r="O78" s="20" t="inlineStr">
        <is>
          <t>الإجمالي</t>
        </is>
      </c>
      <c r="P78" s="13" t="n"/>
    </row>
    <row r="79">
      <c r="D79" s="21" t="n"/>
      <c r="E79" s="21" t="n"/>
      <c r="F79" s="21" t="n"/>
      <c r="G79" s="21" t="n"/>
      <c r="H79" s="21" t="n"/>
      <c r="I79" s="21" t="n"/>
      <c r="J79" s="21" t="n"/>
      <c r="K79" s="21" t="n"/>
      <c r="L79" s="21" t="n"/>
      <c r="M79" s="21" t="n"/>
      <c r="N79" s="21" t="n"/>
      <c r="O79" s="21" t="n"/>
      <c r="P79" s="13" t="n"/>
    </row>
    <row r="80" ht="34.8" customHeight="1">
      <c r="D80" s="5" t="n">
        <v>55</v>
      </c>
      <c r="E80" s="5" t="n">
        <v>55</v>
      </c>
      <c r="F80" s="5" t="inlineStr">
        <is>
          <t>سكن العمال أعمال خرسانية بلوك 10 سم حوائط داخلية</t>
        </is>
      </c>
      <c r="G80" s="5" t="inlineStr">
        <is>
          <t>اعمال اعتيادية مباني معمارية 55</t>
        </is>
      </c>
      <c r="H80" s="5" t="inlineStr">
        <is>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is>
      </c>
      <c r="I80" s="11" t="inlineStr">
        <is>
          <t>نعم</t>
        </is>
      </c>
      <c r="J80" s="11" t="n">
        <v>2007</v>
      </c>
      <c r="K80" s="11" t="inlineStr">
        <is>
          <t>لا يوجد مرفقات</t>
        </is>
      </c>
      <c r="L80" s="11" t="inlineStr">
        <is>
          <t>م2</t>
        </is>
      </c>
      <c r="M80" s="11" t="n">
        <v>65</v>
      </c>
      <c r="N80" s="22" t="n">
        <v>60</v>
      </c>
      <c r="O80" s="25">
        <f>N80*M80</f>
        <v/>
      </c>
      <c r="P80" s="23" t="n">
        <v>3900</v>
      </c>
    </row>
    <row r="81" ht="34.8" customHeight="1">
      <c r="D81" s="5" t="n">
        <v>56</v>
      </c>
      <c r="E81" s="5" t="n">
        <v>56</v>
      </c>
      <c r="F81" s="5" t="inlineStr">
        <is>
          <t>سكن العمال أعمال خرسانية بلوك 10 سم حوائط خارجية</t>
        </is>
      </c>
      <c r="G81" s="5" t="inlineStr">
        <is>
          <t>اعمال اعتيادية مباني معمارية 56</t>
        </is>
      </c>
      <c r="H81" s="5" t="inlineStr">
        <is>
          <t>بالمتر المسطح - توريد وعمل مباني من البلوك سمك 10 سم لزوم مباني الحوائط الخارجية منطقة الكولسترا الخارجية مؤلفه من بلوك أسمنتى والسعر يشمل طبان 20 سم من الخرسانة وكل مايلزم لإنهاء الأعمال حسب المخططات والمواصفات و تعليمات المهندس المشرف</t>
        </is>
      </c>
      <c r="I81" s="11" t="inlineStr">
        <is>
          <t>نعم</t>
        </is>
      </c>
      <c r="J81" s="11" t="n">
        <v>2007</v>
      </c>
      <c r="K81" s="11" t="inlineStr">
        <is>
          <t>لا يوجد مرفقات</t>
        </is>
      </c>
      <c r="L81" s="11" t="inlineStr">
        <is>
          <t>م2</t>
        </is>
      </c>
      <c r="M81" s="11" t="n">
        <v>30</v>
      </c>
      <c r="N81" s="22" t="n">
        <v>60</v>
      </c>
      <c r="O81" s="25">
        <f>N81*M81</f>
        <v/>
      </c>
      <c r="P81" s="23" t="n">
        <v>1800</v>
      </c>
    </row>
    <row r="82" ht="34.8" customHeight="1">
      <c r="D82" s="5" t="n">
        <v>57</v>
      </c>
      <c r="E82" s="5" t="n">
        <v>57</v>
      </c>
      <c r="F82" s="5" t="inlineStr">
        <is>
          <t>سكن العمال أعمال لياسة للحوائط الخارجية</t>
        </is>
      </c>
      <c r="G82" s="5" t="inlineStr">
        <is>
          <t>اعمال اعتيادية مباني معمارية 57</t>
        </is>
      </c>
      <c r="H82" s="5" t="inlineStr">
        <is>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is>
      </c>
      <c r="I82" s="11" t="inlineStr">
        <is>
          <t>نعم</t>
        </is>
      </c>
      <c r="J82" s="11" t="n">
        <v>2049</v>
      </c>
      <c r="K82" s="11" t="inlineStr">
        <is>
          <t>لا يوجد مرفقات</t>
        </is>
      </c>
      <c r="L82" s="11" t="inlineStr">
        <is>
          <t>م2</t>
        </is>
      </c>
      <c r="M82" s="11" t="n">
        <v>615</v>
      </c>
      <c r="N82" s="22" t="n">
        <v>45</v>
      </c>
      <c r="O82" s="25">
        <f>N82*M82</f>
        <v/>
      </c>
      <c r="P82" s="23" t="n">
        <v>27675</v>
      </c>
    </row>
    <row r="83" ht="34.8" customHeight="1">
      <c r="D83" s="5" t="n">
        <v>58</v>
      </c>
      <c r="E83" s="5" t="n">
        <v>58</v>
      </c>
      <c r="F83" s="5" t="inlineStr">
        <is>
          <t>سكن العمال أعمال لياسة للحوائط الداخلية</t>
        </is>
      </c>
      <c r="G83" s="5" t="inlineStr">
        <is>
          <t>اعمال اعتيادية مباني معمارية 58</t>
        </is>
      </c>
      <c r="H83" s="5" t="inlineStr">
        <is>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is>
      </c>
      <c r="I83" s="11" t="inlineStr">
        <is>
          <t>نعم</t>
        </is>
      </c>
      <c r="J83" s="11" t="n">
        <v>2049</v>
      </c>
      <c r="K83" s="11" t="inlineStr">
        <is>
          <t>لا يوجد مرفقات</t>
        </is>
      </c>
      <c r="L83" s="11" t="inlineStr">
        <is>
          <t>م2</t>
        </is>
      </c>
      <c r="M83" s="11" t="n">
        <v>950</v>
      </c>
      <c r="N83" s="22" t="n">
        <v>45</v>
      </c>
      <c r="O83" s="25">
        <f>N83*M83</f>
        <v/>
      </c>
      <c r="P83" s="23" t="n">
        <v>42750</v>
      </c>
    </row>
    <row r="84" ht="52.2" customHeight="1">
      <c r="D84" s="5" t="n">
        <v>59</v>
      </c>
      <c r="E84" s="5" t="n">
        <v>59</v>
      </c>
      <c r="F84" s="5" t="inlineStr">
        <is>
          <t>سكن العمال أعمال دهانات للجدران الداخلية</t>
        </is>
      </c>
      <c r="G84" s="5" t="inlineStr">
        <is>
          <t>اعمال اعتيادية مباني معمارية 59</t>
        </is>
      </c>
      <c r="H84" s="5" t="inlineStr">
        <is>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84" s="11" t="inlineStr">
        <is>
          <t>نعم</t>
        </is>
      </c>
      <c r="J84" s="11" t="n">
        <v>2048</v>
      </c>
      <c r="K84" s="11" t="inlineStr">
        <is>
          <t>لا يوجد مرفقات</t>
        </is>
      </c>
      <c r="L84" s="11" t="inlineStr">
        <is>
          <t>م2</t>
        </is>
      </c>
      <c r="M84" s="11" t="n">
        <v>825</v>
      </c>
      <c r="N84" s="22" t="n">
        <v>40</v>
      </c>
      <c r="O84" s="25">
        <f>N84*M84</f>
        <v/>
      </c>
      <c r="P84" s="23" t="n">
        <v>33000</v>
      </c>
    </row>
    <row r="85" ht="34.8" customHeight="1">
      <c r="D85" s="5" t="n">
        <v>60</v>
      </c>
      <c r="E85" s="5" t="n">
        <v>60</v>
      </c>
      <c r="F85" s="5" t="inlineStr">
        <is>
          <t>سكن العمال أعمال دهان رشة امريكية</t>
        </is>
      </c>
      <c r="G85" s="5" t="inlineStr">
        <is>
          <t>اعمال اعتيادية مباني معمارية 60</t>
        </is>
      </c>
      <c r="H85" s="5" t="inlineStr">
        <is>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85" s="11" t="inlineStr">
        <is>
          <t>نعم</t>
        </is>
      </c>
      <c r="J85" s="11" t="n">
        <v>2048</v>
      </c>
      <c r="K85" s="11" t="inlineStr">
        <is>
          <t>لا يوجد مرفقات</t>
        </is>
      </c>
      <c r="L85" s="11" t="inlineStr">
        <is>
          <t>م2</t>
        </is>
      </c>
      <c r="M85" s="11" t="n">
        <v>100</v>
      </c>
      <c r="N85" s="22" t="n">
        <v>50</v>
      </c>
      <c r="O85" s="25">
        <f>N85*M85</f>
        <v/>
      </c>
      <c r="P85" s="23" t="n">
        <v>5000</v>
      </c>
    </row>
    <row r="86">
      <c r="D86" s="4" t="inlineStr">
        <is>
          <t>الرقم التسلسلي</t>
        </is>
      </c>
      <c r="E86" s="4" t="inlineStr">
        <is>
          <t>الفئة</t>
        </is>
      </c>
      <c r="F86" s="4" t="inlineStr">
        <is>
          <t>البند</t>
        </is>
      </c>
      <c r="G86" s="4" t="inlineStr">
        <is>
          <t>وصف البند</t>
        </is>
      </c>
      <c r="H86" s="4" t="inlineStr">
        <is>
          <t>المواصفات</t>
        </is>
      </c>
      <c r="I86" s="9" t="inlineStr">
        <is>
          <t>منتج من القائمة الإلزامية</t>
        </is>
      </c>
      <c r="J86" s="9" t="inlineStr">
        <is>
          <t>الرمز الإنشائي</t>
        </is>
      </c>
      <c r="K86" s="9" t="inlineStr">
        <is>
          <t>مرفقات</t>
        </is>
      </c>
      <c r="L86" s="9" t="inlineStr">
        <is>
          <t>وحدة القياس</t>
        </is>
      </c>
      <c r="M86" s="9" t="inlineStr">
        <is>
          <t>الكمية</t>
        </is>
      </c>
      <c r="N86" s="20" t="inlineStr">
        <is>
          <t>سعر الوحدة</t>
        </is>
      </c>
      <c r="O86" s="20" t="inlineStr">
        <is>
          <t>الإجمالي</t>
        </is>
      </c>
      <c r="P86" s="13" t="n"/>
    </row>
    <row r="87">
      <c r="D87" s="21" t="n"/>
      <c r="E87" s="21" t="n"/>
      <c r="F87" s="21" t="n"/>
      <c r="G87" s="21" t="n"/>
      <c r="H87" s="21" t="n"/>
      <c r="I87" s="21" t="n"/>
      <c r="J87" s="21" t="n"/>
      <c r="K87" s="21" t="n"/>
      <c r="L87" s="21" t="n"/>
      <c r="M87" s="21" t="n"/>
      <c r="N87" s="21" t="n"/>
      <c r="O87" s="21" t="n"/>
      <c r="P87" s="13" t="n"/>
    </row>
    <row r="88" ht="34.8" customHeight="1">
      <c r="D88" s="5" t="n">
        <v>61</v>
      </c>
      <c r="E88" s="5" t="n">
        <v>61</v>
      </c>
      <c r="F88" s="5" t="inlineStr">
        <is>
          <t>سكن العمال أعمال دهانات بروفايل</t>
        </is>
      </c>
      <c r="G88" s="5" t="inlineStr">
        <is>
          <t>اعمال اعتيادية مباني معمارية 61</t>
        </is>
      </c>
      <c r="H88" s="5" t="inlineStr">
        <is>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88" s="11" t="inlineStr">
        <is>
          <t>نعم</t>
        </is>
      </c>
      <c r="J88" s="11" t="n">
        <v>2048</v>
      </c>
      <c r="K88" s="11" t="inlineStr">
        <is>
          <t>لا يوجد مرفقات</t>
        </is>
      </c>
      <c r="L88" s="11" t="inlineStr">
        <is>
          <t>م2</t>
        </is>
      </c>
      <c r="M88" s="11" t="n">
        <v>460</v>
      </c>
      <c r="N88" s="22" t="n">
        <v>50</v>
      </c>
      <c r="O88" s="25">
        <f>N88*M88</f>
        <v/>
      </c>
      <c r="P88" s="23" t="n">
        <v>23000</v>
      </c>
    </row>
    <row r="89" ht="34.8" customHeight="1">
      <c r="D89" s="5" t="n">
        <v>62</v>
      </c>
      <c r="E89" s="5" t="n">
        <v>62</v>
      </c>
      <c r="F89" s="5" t="inlineStr">
        <is>
          <t>سكن العمال تركيب سفل جرانيت</t>
        </is>
      </c>
      <c r="G89" s="5" t="inlineStr">
        <is>
          <t>اعمال اعتيادية مباني معمارية 62</t>
        </is>
      </c>
      <c r="H89" s="5" t="inlineStr">
        <is>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is>
      </c>
      <c r="I89" s="11" t="inlineStr">
        <is>
          <t>نعم</t>
        </is>
      </c>
      <c r="J89" s="11" t="n">
        <v>2041</v>
      </c>
      <c r="K89" s="11" t="inlineStr">
        <is>
          <t>لا يوجد مرفقات</t>
        </is>
      </c>
      <c r="L89" s="11" t="inlineStr">
        <is>
          <t>مط</t>
        </is>
      </c>
      <c r="M89" s="11" t="n">
        <v>75</v>
      </c>
      <c r="N89" s="22" t="n">
        <v>250</v>
      </c>
      <c r="O89" s="25">
        <f>N89*M89</f>
        <v/>
      </c>
      <c r="P89" s="23" t="n">
        <v>18750</v>
      </c>
    </row>
    <row r="90" ht="34.8" customHeight="1">
      <c r="D90" s="5" t="n">
        <v>63</v>
      </c>
      <c r="E90" s="5" t="n">
        <v>63</v>
      </c>
      <c r="F90" s="5" t="inlineStr">
        <is>
          <t>سكن العمال تركيب درج خارجى وداخلى</t>
        </is>
      </c>
      <c r="G90" s="5" t="inlineStr">
        <is>
          <t>اعمال اعتيادية مباني معمارية 63</t>
        </is>
      </c>
      <c r="H90" s="5" t="inlineStr">
        <is>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is>
      </c>
      <c r="I90" s="11" t="inlineStr">
        <is>
          <t>نعم</t>
        </is>
      </c>
      <c r="J90" s="11" t="n">
        <v>2013</v>
      </c>
      <c r="K90" s="11" t="inlineStr">
        <is>
          <t>لا يوجد مرفقات</t>
        </is>
      </c>
      <c r="L90" s="11" t="inlineStr">
        <is>
          <t>مط</t>
        </is>
      </c>
      <c r="M90" s="11" t="n">
        <v>55</v>
      </c>
      <c r="N90" s="22" t="n">
        <v>280</v>
      </c>
      <c r="O90" s="25">
        <f>N90*M90</f>
        <v/>
      </c>
      <c r="P90" s="23" t="n">
        <v>15400</v>
      </c>
    </row>
    <row r="91" ht="52.2" customHeight="1">
      <c r="D91" s="5" t="n">
        <v>64</v>
      </c>
      <c r="E91" s="5" t="n">
        <v>64</v>
      </c>
      <c r="F91" s="5" t="inlineStr">
        <is>
          <t>سكن العمال تركيب وزرة رخام</t>
        </is>
      </c>
      <c r="G91" s="5" t="inlineStr">
        <is>
          <t>اعمال اعتيادية مباني معمارية 64</t>
        </is>
      </c>
      <c r="H91" s="5" t="inlineStr">
        <is>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is>
      </c>
      <c r="I91" s="11" t="inlineStr">
        <is>
          <t>نعم</t>
        </is>
      </c>
      <c r="J91" s="11" t="n">
        <v>2041</v>
      </c>
      <c r="K91" s="11" t="inlineStr">
        <is>
          <t>لا يوجد مرفقات</t>
        </is>
      </c>
      <c r="L91" s="11" t="inlineStr">
        <is>
          <t>مط</t>
        </is>
      </c>
      <c r="M91" s="11" t="n">
        <v>25</v>
      </c>
      <c r="N91" s="22" t="n">
        <v>60</v>
      </c>
      <c r="O91" s="25">
        <f>N91*M91</f>
        <v/>
      </c>
      <c r="P91" s="23" t="n">
        <v>1500</v>
      </c>
    </row>
    <row r="92" ht="34.8" customHeight="1">
      <c r="D92" s="5" t="n">
        <v>65</v>
      </c>
      <c r="E92" s="5" t="n">
        <v>65</v>
      </c>
      <c r="F92" s="5" t="inlineStr">
        <is>
          <t>سكن العمال تركيب رخام</t>
        </is>
      </c>
      <c r="G92" s="5" t="inlineStr">
        <is>
          <t>اعمال اعتيادية مباني معمارية 65</t>
        </is>
      </c>
      <c r="H92" s="5" t="inlineStr">
        <is>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t>
        </is>
      </c>
      <c r="I92" s="11" t="inlineStr">
        <is>
          <t>نعم</t>
        </is>
      </c>
      <c r="J92" s="11" t="n">
        <v>2041</v>
      </c>
      <c r="K92" s="11" t="inlineStr">
        <is>
          <t>لا يوجد مرفقات</t>
        </is>
      </c>
      <c r="L92" s="11" t="inlineStr">
        <is>
          <t>م2</t>
        </is>
      </c>
      <c r="M92" s="11" t="n">
        <v>23</v>
      </c>
      <c r="N92" s="22" t="n">
        <v>280</v>
      </c>
      <c r="O92" s="25">
        <f>N92*M92</f>
        <v/>
      </c>
      <c r="P92" s="23" t="n">
        <v>6440</v>
      </c>
    </row>
    <row r="93" ht="52.2" customHeight="1">
      <c r="D93" s="5" t="n">
        <v>66</v>
      </c>
      <c r="E93" s="5" t="n">
        <v>66</v>
      </c>
      <c r="F93" s="5" t="inlineStr">
        <is>
          <t>سكن العمال تركيب بلاط بورسيلان</t>
        </is>
      </c>
      <c r="G93" s="5" t="inlineStr">
        <is>
          <t>اعمال اعتيادية مباني معمارية 66</t>
        </is>
      </c>
      <c r="H93" s="5" t="inlineStr">
        <is>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is>
      </c>
      <c r="I93" s="11" t="inlineStr">
        <is>
          <t>نعم</t>
        </is>
      </c>
      <c r="J93" s="11" t="n">
        <v>2041</v>
      </c>
      <c r="K93" s="11" t="inlineStr">
        <is>
          <t>لا يوجد مرفقات</t>
        </is>
      </c>
      <c r="L93" s="11" t="inlineStr">
        <is>
          <t>م2</t>
        </is>
      </c>
      <c r="M93" s="11" t="n">
        <v>195</v>
      </c>
      <c r="N93" s="22" t="n">
        <v>70</v>
      </c>
      <c r="O93" s="25">
        <f>N93*M93</f>
        <v/>
      </c>
      <c r="P93" s="23" t="n">
        <v>13650</v>
      </c>
    </row>
    <row r="94">
      <c r="D94" s="4" t="inlineStr">
        <is>
          <t>الرقم التسلسلي</t>
        </is>
      </c>
      <c r="E94" s="4" t="inlineStr">
        <is>
          <t>الفئة</t>
        </is>
      </c>
      <c r="F94" s="4" t="inlineStr">
        <is>
          <t>البند</t>
        </is>
      </c>
      <c r="G94" s="4" t="inlineStr">
        <is>
          <t>وصف البند</t>
        </is>
      </c>
      <c r="H94" s="4" t="inlineStr">
        <is>
          <t>المواصفات</t>
        </is>
      </c>
      <c r="I94" s="9" t="inlineStr">
        <is>
          <t>منتج من القائمة الإلزامية</t>
        </is>
      </c>
      <c r="J94" s="9" t="inlineStr">
        <is>
          <t>الرمز الإنشائي</t>
        </is>
      </c>
      <c r="K94" s="9" t="inlineStr">
        <is>
          <t>مرفقات</t>
        </is>
      </c>
      <c r="L94" s="9" t="inlineStr">
        <is>
          <t>وحدة القياس</t>
        </is>
      </c>
      <c r="M94" s="9" t="inlineStr">
        <is>
          <t>الكمية</t>
        </is>
      </c>
      <c r="N94" s="20" t="inlineStr">
        <is>
          <t>سعر الوحدة</t>
        </is>
      </c>
      <c r="O94" s="20" t="inlineStr">
        <is>
          <t>الإجمالي</t>
        </is>
      </c>
      <c r="P94" s="13" t="n"/>
    </row>
    <row r="95">
      <c r="D95" s="21" t="n"/>
      <c r="E95" s="21" t="n"/>
      <c r="F95" s="21" t="n"/>
      <c r="G95" s="21" t="n"/>
      <c r="H95" s="21" t="n"/>
      <c r="I95" s="21" t="n"/>
      <c r="J95" s="21" t="n"/>
      <c r="K95" s="21" t="n"/>
      <c r="L95" s="21" t="n"/>
      <c r="M95" s="21" t="n"/>
      <c r="N95" s="21" t="n"/>
      <c r="O95" s="21" t="n"/>
      <c r="P95" s="13" t="n"/>
    </row>
    <row r="96" ht="52.2" customHeight="1">
      <c r="D96" s="5" t="n">
        <v>67</v>
      </c>
      <c r="E96" s="5" t="n">
        <v>67</v>
      </c>
      <c r="F96" s="5" t="inlineStr">
        <is>
          <t>سكن العمال تركيب سيراميك</t>
        </is>
      </c>
      <c r="G96" s="5" t="inlineStr">
        <is>
          <t>اعمال اعتيادية مباني معمارية 67</t>
        </is>
      </c>
      <c r="H96" s="5" t="inlineStr">
        <is>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is>
      </c>
      <c r="I96" s="11" t="inlineStr">
        <is>
          <t>نعم</t>
        </is>
      </c>
      <c r="J96" s="11" t="n">
        <v>2041</v>
      </c>
      <c r="K96" s="11" t="inlineStr">
        <is>
          <t>لا يوجد مرفقات</t>
        </is>
      </c>
      <c r="L96" s="11" t="inlineStr">
        <is>
          <t>م2</t>
        </is>
      </c>
      <c r="M96" s="11" t="n">
        <v>115</v>
      </c>
      <c r="N96" s="22" t="n">
        <v>70</v>
      </c>
      <c r="O96" s="25">
        <f>N96*M96</f>
        <v/>
      </c>
      <c r="P96" s="23" t="n">
        <v>8050</v>
      </c>
    </row>
    <row r="97" ht="52.2" customHeight="1">
      <c r="D97" s="5" t="n">
        <v>68</v>
      </c>
      <c r="E97" s="5" t="n">
        <v>68</v>
      </c>
      <c r="F97" s="5" t="inlineStr">
        <is>
          <t>سكن العمال تركيب حوائط سيراميك</t>
        </is>
      </c>
      <c r="G97" s="5" t="inlineStr">
        <is>
          <t>اعمال اعتيادية مباني معمارية 68</t>
        </is>
      </c>
      <c r="H97" s="5" t="inlineStr">
        <is>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is>
      </c>
      <c r="I97" s="11" t="inlineStr">
        <is>
          <t>نعم</t>
        </is>
      </c>
      <c r="J97" s="11" t="n">
        <v>2041</v>
      </c>
      <c r="K97" s="11" t="inlineStr">
        <is>
          <t>لا يوجد مرفقات</t>
        </is>
      </c>
      <c r="L97" s="11" t="inlineStr">
        <is>
          <t>م2</t>
        </is>
      </c>
      <c r="M97" s="11" t="n">
        <v>330</v>
      </c>
      <c r="N97" s="22" t="n">
        <v>70</v>
      </c>
      <c r="O97" s="25">
        <f>N97*M97</f>
        <v/>
      </c>
      <c r="P97" s="23" t="n">
        <v>23100</v>
      </c>
    </row>
    <row r="98" ht="34.8" customHeight="1">
      <c r="D98" s="5" t="n">
        <v>69</v>
      </c>
      <c r="E98" s="5" t="n">
        <v>69</v>
      </c>
      <c r="F98" s="5" t="inlineStr">
        <is>
          <t>سكن العمال أعمال خرسانة خفيفة</t>
        </is>
      </c>
      <c r="G98" s="5" t="inlineStr">
        <is>
          <t>اعمال اعتيادية مباني معمارية 69</t>
        </is>
      </c>
      <c r="H98" s="5" t="inlineStr">
        <is>
          <t>بالمتر المسطح توريد وصب خرسانة (خفيفة) لميول الاسطح بسمك 7 سم طبقا للمواصفات واصول الصناعة وتعليمات المهندس المشرف</t>
        </is>
      </c>
      <c r="I98" s="11" t="inlineStr">
        <is>
          <t>نعم</t>
        </is>
      </c>
      <c r="J98" s="11" t="n">
        <v>2004</v>
      </c>
      <c r="K98" s="11" t="inlineStr">
        <is>
          <t>لا يوجد مرفقات</t>
        </is>
      </c>
      <c r="L98" s="11" t="inlineStr">
        <is>
          <t>م2</t>
        </is>
      </c>
      <c r="M98" s="11" t="n">
        <v>195</v>
      </c>
      <c r="N98" s="22" t="n">
        <v>40</v>
      </c>
      <c r="O98" s="25">
        <f>N98*M98</f>
        <v/>
      </c>
      <c r="P98" s="23" t="n">
        <v>7800</v>
      </c>
    </row>
    <row r="99" ht="34.8" customHeight="1">
      <c r="D99" s="5" t="n">
        <v>70</v>
      </c>
      <c r="E99" s="5" t="n">
        <v>70</v>
      </c>
      <c r="F99" s="5" t="inlineStr">
        <is>
          <t>سكن العمال أعمال دهان بيتومين</t>
        </is>
      </c>
      <c r="G99" s="5" t="inlineStr">
        <is>
          <t>اعمال اعتيادية مباني معمارية 70</t>
        </is>
      </c>
      <c r="H99" s="5" t="inlineStr">
        <is>
          <t>بالمتر المسطح توريد و دهان وجهين بالبيتومين الساخن لزوم عزل الرطوبه الاسطح حسب المخططات والمواصفات وتعليمات المهندس المشرف</t>
        </is>
      </c>
      <c r="I99" s="11" t="inlineStr">
        <is>
          <t>نعم</t>
        </is>
      </c>
      <c r="J99" s="11" t="n">
        <v>2017</v>
      </c>
      <c r="K99" s="11" t="inlineStr">
        <is>
          <t>لا يوجد مرفقات</t>
        </is>
      </c>
      <c r="L99" s="11" t="inlineStr">
        <is>
          <t>م2</t>
        </is>
      </c>
      <c r="M99" s="11" t="n">
        <v>195</v>
      </c>
      <c r="N99" s="22" t="n">
        <v>25</v>
      </c>
      <c r="O99" s="25">
        <f>N99*M99</f>
        <v/>
      </c>
      <c r="P99" s="23" t="n">
        <v>4875</v>
      </c>
    </row>
    <row r="100" ht="34.8" customHeight="1">
      <c r="D100" s="5" t="n">
        <v>71</v>
      </c>
      <c r="E100" s="5" t="n">
        <v>71</v>
      </c>
      <c r="F100" s="5" t="inlineStr">
        <is>
          <t>سكن العمال تركيب شرائح بيتومين</t>
        </is>
      </c>
      <c r="G100" s="5" t="inlineStr">
        <is>
          <t>اعمال اعتيادية مباني معمارية 71</t>
        </is>
      </c>
      <c r="H100" s="5" t="inlineStr">
        <is>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is>
      </c>
      <c r="I100" s="11" t="inlineStr">
        <is>
          <t>نعم</t>
        </is>
      </c>
      <c r="J100" s="11" t="n">
        <v>2017</v>
      </c>
      <c r="K100" s="11" t="inlineStr">
        <is>
          <t>لا يوجد مرفقات</t>
        </is>
      </c>
      <c r="L100" s="11" t="inlineStr">
        <is>
          <t>م2</t>
        </is>
      </c>
      <c r="M100" s="11" t="n">
        <v>195</v>
      </c>
      <c r="N100" s="22" t="n">
        <v>60</v>
      </c>
      <c r="O100" s="25">
        <f>N100*M100</f>
        <v/>
      </c>
      <c r="P100" s="23" t="n">
        <v>11700</v>
      </c>
    </row>
    <row r="101" ht="34.8" customHeight="1">
      <c r="D101" s="5" t="n">
        <v>72</v>
      </c>
      <c r="E101" s="5" t="n">
        <v>72</v>
      </c>
      <c r="F101" s="5" t="inlineStr">
        <is>
          <t>سكن العمال أعمال عزل</t>
        </is>
      </c>
      <c r="G101" s="5" t="inlineStr">
        <is>
          <t>اعمال اعتيادية مباني معمارية 72</t>
        </is>
      </c>
      <c r="H101" s="5" t="inlineStr">
        <is>
          <t>بالمتر المسطح توريد وتركيب طبقة عازلة للحرارة سمك 50 مم من الواح اكسترودد بوليسترين كثافة 35 كجم/ م3 للاسطح لزوم اسطح المباني</t>
        </is>
      </c>
      <c r="I101" s="11" t="inlineStr">
        <is>
          <t>نعم</t>
        </is>
      </c>
      <c r="J101" s="11" t="n">
        <v>2017</v>
      </c>
      <c r="K101" s="11" t="inlineStr">
        <is>
          <t>لا يوجد مرفقات</t>
        </is>
      </c>
      <c r="L101" s="11" t="inlineStr">
        <is>
          <t>م2</t>
        </is>
      </c>
      <c r="M101" s="11" t="n">
        <v>195</v>
      </c>
      <c r="N101" s="22" t="n">
        <v>40</v>
      </c>
      <c r="O101" s="25">
        <f>N101*M101</f>
        <v/>
      </c>
      <c r="P101" s="23" t="n">
        <v>7800</v>
      </c>
    </row>
    <row r="102">
      <c r="D102" s="4" t="inlineStr">
        <is>
          <t>الرقم التسلسلي</t>
        </is>
      </c>
      <c r="E102" s="4" t="inlineStr">
        <is>
          <t>الفئة</t>
        </is>
      </c>
      <c r="F102" s="4" t="inlineStr">
        <is>
          <t>البند</t>
        </is>
      </c>
      <c r="G102" s="4" t="inlineStr">
        <is>
          <t>وصف البند</t>
        </is>
      </c>
      <c r="H102" s="4" t="inlineStr">
        <is>
          <t>المواصفات</t>
        </is>
      </c>
      <c r="I102" s="9" t="inlineStr">
        <is>
          <t>منتج من القائمة الإلزامية</t>
        </is>
      </c>
      <c r="J102" s="9" t="inlineStr">
        <is>
          <t>الرمز الإنشائي</t>
        </is>
      </c>
      <c r="K102" s="9" t="inlineStr">
        <is>
          <t>مرفقات</t>
        </is>
      </c>
      <c r="L102" s="9" t="inlineStr">
        <is>
          <t>وحدة القياس</t>
        </is>
      </c>
      <c r="M102" s="9" t="inlineStr">
        <is>
          <t>الكمية</t>
        </is>
      </c>
      <c r="N102" s="20" t="inlineStr">
        <is>
          <t>سعر الوحدة</t>
        </is>
      </c>
      <c r="O102" s="20" t="inlineStr">
        <is>
          <t>الإجمالي</t>
        </is>
      </c>
      <c r="P102" s="13" t="n"/>
    </row>
    <row r="103">
      <c r="D103" s="21" t="n"/>
      <c r="E103" s="21" t="n"/>
      <c r="F103" s="21" t="n"/>
      <c r="G103" s="21" t="n"/>
      <c r="H103" s="21" t="n"/>
      <c r="I103" s="21" t="n"/>
      <c r="J103" s="21" t="n"/>
      <c r="K103" s="21" t="n"/>
      <c r="L103" s="21" t="n"/>
      <c r="M103" s="21" t="n"/>
      <c r="N103" s="21" t="n"/>
      <c r="O103" s="21" t="n"/>
      <c r="P103" s="13" t="n"/>
    </row>
    <row r="104" ht="34.8" customHeight="1">
      <c r="D104" s="5" t="n">
        <v>73</v>
      </c>
      <c r="E104" s="5" t="n">
        <v>73</v>
      </c>
      <c r="F104" s="5" t="inlineStr">
        <is>
          <t>سكن العمال تركيب شرائح بوليثيلين</t>
        </is>
      </c>
      <c r="G104" s="5" t="inlineStr">
        <is>
          <t>اعمال اعتيادية مباني معمارية 73</t>
        </is>
      </c>
      <c r="H104" s="5" t="inlineStr">
        <is>
          <t>بالمتر المسطح توريد وتركيب طبقة من شرائح البوليثيلين سمك 200 ميكرون لزوم اسطح المباني طبقا للمواصفات وتعليمات المهندس المشرف</t>
        </is>
      </c>
      <c r="I104" s="11" t="inlineStr">
        <is>
          <t>نعم</t>
        </is>
      </c>
      <c r="J104" s="11" t="n">
        <v>2017</v>
      </c>
      <c r="K104" s="11" t="inlineStr">
        <is>
          <t>لا يوجد مرفقات</t>
        </is>
      </c>
      <c r="L104" s="11" t="inlineStr">
        <is>
          <t>م2</t>
        </is>
      </c>
      <c r="M104" s="11" t="n">
        <v>195</v>
      </c>
      <c r="N104" s="22" t="n">
        <v>7</v>
      </c>
      <c r="O104" s="25">
        <f>N104*M104</f>
        <v/>
      </c>
      <c r="P104" s="23" t="n">
        <v>1365</v>
      </c>
    </row>
    <row r="105" ht="34.8" customHeight="1">
      <c r="D105" s="5" t="n">
        <v>74</v>
      </c>
      <c r="E105" s="5" t="n">
        <v>74</v>
      </c>
      <c r="F105" s="5" t="inlineStr">
        <is>
          <t>سكن العمال أعمال عزل للرطوبة</t>
        </is>
      </c>
      <c r="G105" s="5" t="inlineStr">
        <is>
          <t>اعمال اعتيادية مباني معمارية 74</t>
        </is>
      </c>
      <c r="H105" s="5" t="inlineStr">
        <is>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is>
      </c>
      <c r="I105" s="11" t="inlineStr">
        <is>
          <t>نعم</t>
        </is>
      </c>
      <c r="J105" s="11" t="n">
        <v>2017</v>
      </c>
      <c r="K105" s="11" t="inlineStr">
        <is>
          <t>لا يوجد مرفقات</t>
        </is>
      </c>
      <c r="L105" s="11" t="inlineStr">
        <is>
          <t>م2</t>
        </is>
      </c>
      <c r="M105" s="11" t="n">
        <v>60</v>
      </c>
      <c r="N105" s="22" t="n">
        <v>105</v>
      </c>
      <c r="O105" s="25">
        <f>N105*M105</f>
        <v/>
      </c>
      <c r="P105" s="23" t="n">
        <v>6300</v>
      </c>
    </row>
    <row r="106" ht="34.8" customHeight="1">
      <c r="D106" s="5" t="n">
        <v>75</v>
      </c>
      <c r="E106" s="5" t="n">
        <v>75</v>
      </c>
      <c r="F106" s="5" t="inlineStr">
        <is>
          <t>سكن العمال تركيب بلاط موزايكو</t>
        </is>
      </c>
      <c r="G106" s="5" t="inlineStr">
        <is>
          <t>اعمال اعتيادية مباني معمارية 75</t>
        </is>
      </c>
      <c r="H106" s="5" t="inlineStr">
        <is>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is>
      </c>
      <c r="I106" s="11" t="inlineStr">
        <is>
          <t>نعم</t>
        </is>
      </c>
      <c r="J106" s="11" t="n">
        <v>2041</v>
      </c>
      <c r="K106" s="11" t="inlineStr">
        <is>
          <t>لا يوجد مرفقات</t>
        </is>
      </c>
      <c r="L106" s="11" t="inlineStr">
        <is>
          <t>م2</t>
        </is>
      </c>
      <c r="M106" s="11" t="n">
        <v>195</v>
      </c>
      <c r="N106" s="22" t="n">
        <v>70</v>
      </c>
      <c r="O106" s="25">
        <f>N106*M106</f>
        <v/>
      </c>
      <c r="P106" s="23" t="n">
        <v>13650</v>
      </c>
    </row>
    <row r="107" ht="34.8" customHeight="1">
      <c r="D107" s="5" t="n">
        <v>76</v>
      </c>
      <c r="E107" s="5" t="n">
        <v>76</v>
      </c>
      <c r="F107" s="5" t="inlineStr">
        <is>
          <t>سكن العمال تركيب سلم بحارى</t>
        </is>
      </c>
      <c r="G107" s="5" t="inlineStr">
        <is>
          <t>اعمال اعتيادية مباني معمارية 76</t>
        </is>
      </c>
      <c r="H107" s="5" t="inlineStr">
        <is>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is>
      </c>
      <c r="I107" s="11" t="inlineStr">
        <is>
          <t>نعم</t>
        </is>
      </c>
      <c r="J107" s="11" t="n">
        <v>2013</v>
      </c>
      <c r="K107" s="11" t="inlineStr">
        <is>
          <t>لا يوجد مرفقات</t>
        </is>
      </c>
      <c r="L107" s="11" t="inlineStr">
        <is>
          <t>مط</t>
        </is>
      </c>
      <c r="M107" s="11" t="n">
        <v>7</v>
      </c>
      <c r="N107" s="22" t="n">
        <v>280</v>
      </c>
      <c r="O107" s="25">
        <f>N107*M107</f>
        <v/>
      </c>
      <c r="P107" s="23" t="n">
        <v>1960</v>
      </c>
    </row>
    <row r="108" ht="34.8" customHeight="1">
      <c r="D108" s="5" t="n">
        <v>77</v>
      </c>
      <c r="E108" s="5" t="n">
        <v>77</v>
      </c>
      <c r="F108" s="5" t="inlineStr">
        <is>
          <t>سكن العمال باب حديد ب</t>
        </is>
      </c>
      <c r="G108" s="5" t="inlineStr">
        <is>
          <t>اعمال اعتيادية مباني معمارية 77</t>
        </is>
      </c>
      <c r="H108" s="5" t="inlineStr">
        <is>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is>
      </c>
      <c r="I108" s="11" t="inlineStr">
        <is>
          <t>نعم</t>
        </is>
      </c>
      <c r="J108" s="11" t="n">
        <v>2031</v>
      </c>
      <c r="K108" s="11" t="inlineStr">
        <is>
          <t>لا يوجد مرفقات</t>
        </is>
      </c>
      <c r="L108" s="11" t="inlineStr">
        <is>
          <t>عدد</t>
        </is>
      </c>
      <c r="M108" s="11" t="n">
        <v>1</v>
      </c>
      <c r="N108" s="22" t="n">
        <v>3150</v>
      </c>
      <c r="O108" s="25">
        <f>N108*M108</f>
        <v/>
      </c>
      <c r="P108" s="23" t="n">
        <v>3150</v>
      </c>
    </row>
    <row r="109" ht="34.8" customHeight="1">
      <c r="D109" s="5" t="n">
        <v>78</v>
      </c>
      <c r="E109" s="5" t="n">
        <v>78</v>
      </c>
      <c r="F109" s="5" t="inlineStr">
        <is>
          <t>سكن العمال باب خشب ب2</t>
        </is>
      </c>
      <c r="G109" s="5" t="inlineStr">
        <is>
          <t>اعمال اعتيادية مباني معمارية 78</t>
        </is>
      </c>
      <c r="H109" s="5" t="inlineStr">
        <is>
          <t>بالعدد توريد وتركيب باب من خشب كبس (ب2 ) (ضلفة) بمقاس ( 100 *220 ) م صافي فتحة الباب بعد التشطيب لزوم باب الغرف و المغسلة والمطبخ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is>
      </c>
      <c r="I109" s="11" t="inlineStr">
        <is>
          <t>نعم</t>
        </is>
      </c>
      <c r="J109" s="11" t="n">
        <v>2031</v>
      </c>
      <c r="K109" s="11" t="inlineStr">
        <is>
          <t>لا يوجد مرفقات</t>
        </is>
      </c>
      <c r="L109" s="11" t="inlineStr">
        <is>
          <t>عدد</t>
        </is>
      </c>
      <c r="M109" s="11" t="n">
        <v>6</v>
      </c>
      <c r="N109" s="22" t="n">
        <v>3150</v>
      </c>
      <c r="O109" s="25">
        <f>N109*M109</f>
        <v/>
      </c>
      <c r="P109" s="23" t="n">
        <v>18900</v>
      </c>
    </row>
    <row r="110">
      <c r="D110" s="4" t="inlineStr">
        <is>
          <t>الرقم التسلسلي</t>
        </is>
      </c>
      <c r="E110" s="4" t="inlineStr">
        <is>
          <t>الفئة</t>
        </is>
      </c>
      <c r="F110" s="4" t="inlineStr">
        <is>
          <t>البند</t>
        </is>
      </c>
      <c r="G110" s="4" t="inlineStr">
        <is>
          <t>وصف البند</t>
        </is>
      </c>
      <c r="H110" s="4" t="inlineStr">
        <is>
          <t>المواصفات</t>
        </is>
      </c>
      <c r="I110" s="9" t="inlineStr">
        <is>
          <t>منتج من القائمة الإلزامية</t>
        </is>
      </c>
      <c r="J110" s="9" t="inlineStr">
        <is>
          <t>الرمز الإنشائي</t>
        </is>
      </c>
      <c r="K110" s="9" t="inlineStr">
        <is>
          <t>مرفقات</t>
        </is>
      </c>
      <c r="L110" s="9" t="inlineStr">
        <is>
          <t>وحدة القياس</t>
        </is>
      </c>
      <c r="M110" s="9" t="inlineStr">
        <is>
          <t>الكمية</t>
        </is>
      </c>
      <c r="N110" s="20" t="inlineStr">
        <is>
          <t>سعر الوحدة</t>
        </is>
      </c>
      <c r="O110" s="20" t="inlineStr">
        <is>
          <t>الإجمالي</t>
        </is>
      </c>
      <c r="P110" s="13" t="n"/>
    </row>
    <row r="111">
      <c r="D111" s="21" t="n"/>
      <c r="E111" s="21" t="n"/>
      <c r="F111" s="21" t="n"/>
      <c r="G111" s="21" t="n"/>
      <c r="H111" s="21" t="n"/>
      <c r="I111" s="21" t="n"/>
      <c r="J111" s="21" t="n"/>
      <c r="K111" s="21" t="n"/>
      <c r="L111" s="21" t="n"/>
      <c r="M111" s="21" t="n"/>
      <c r="N111" s="21" t="n"/>
      <c r="O111" s="21" t="n"/>
      <c r="P111" s="13" t="n"/>
    </row>
    <row r="112" ht="69.59999999999999" customHeight="1">
      <c r="D112" s="5" t="n">
        <v>79</v>
      </c>
      <c r="E112" s="5" t="n">
        <v>79</v>
      </c>
      <c r="F112" s="5" t="inlineStr">
        <is>
          <t>سكن العمال ابواب مقاومة للماء ب3</t>
        </is>
      </c>
      <c r="G112" s="5" t="inlineStr">
        <is>
          <t>اعمال اعتيادية مباني معمارية 79</t>
        </is>
      </c>
      <c r="H112" s="5" t="inlineStr">
        <is>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is>
      </c>
      <c r="I112" s="11" t="inlineStr">
        <is>
          <t>نعم</t>
        </is>
      </c>
      <c r="J112" s="11" t="n">
        <v>2031</v>
      </c>
      <c r="K112" s="11" t="inlineStr">
        <is>
          <t>لا يوجد مرفقات</t>
        </is>
      </c>
      <c r="L112" s="11" t="inlineStr">
        <is>
          <t>عدد</t>
        </is>
      </c>
      <c r="M112" s="11" t="n">
        <v>4</v>
      </c>
      <c r="N112" s="22" t="n">
        <v>2380</v>
      </c>
      <c r="O112" s="25">
        <f>N112*M112</f>
        <v/>
      </c>
      <c r="P112" s="23" t="n">
        <v>9520</v>
      </c>
    </row>
    <row r="113" ht="69.59999999999999" customHeight="1">
      <c r="D113" s="5" t="n">
        <v>80</v>
      </c>
      <c r="E113" s="5" t="n">
        <v>80</v>
      </c>
      <c r="F113" s="5" t="inlineStr">
        <is>
          <t>سكن العمال ابواب مقاومة للماء ب 4</t>
        </is>
      </c>
      <c r="G113" s="5" t="inlineStr">
        <is>
          <t>اعمال اعتيادية مباني معمارية 80</t>
        </is>
      </c>
      <c r="H113" s="5" t="inlineStr">
        <is>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is>
      </c>
      <c r="I113" s="11" t="inlineStr">
        <is>
          <t>نعم</t>
        </is>
      </c>
      <c r="J113" s="11" t="n">
        <v>2031</v>
      </c>
      <c r="K113" s="11" t="inlineStr">
        <is>
          <t>لا يوجد مرفقات</t>
        </is>
      </c>
      <c r="L113" s="11" t="inlineStr">
        <is>
          <t>عدد</t>
        </is>
      </c>
      <c r="M113" s="11" t="n">
        <v>6</v>
      </c>
      <c r="N113" s="22" t="n">
        <v>2380</v>
      </c>
      <c r="O113" s="25">
        <f>N113*M113</f>
        <v/>
      </c>
      <c r="P113" s="23" t="n">
        <v>14280</v>
      </c>
    </row>
    <row r="114" ht="34.8" customHeight="1">
      <c r="D114" s="5" t="n">
        <v>81</v>
      </c>
      <c r="E114" s="5" t="n">
        <v>81</v>
      </c>
      <c r="F114" s="5" t="inlineStr">
        <is>
          <t>سكن العمال ابواب حديدية مجلفنة مقاومة للحريق ب 4</t>
        </is>
      </c>
      <c r="G114" s="5" t="inlineStr">
        <is>
          <t>اعمال اعتيادية مباني معمارية 81</t>
        </is>
      </c>
      <c r="H114" s="5" t="inlineStr">
        <is>
          <t>بالعدد توريد وتركيب ابواب مفصلية من ابواب حديدية مجلفنة مقاومة للحريق لمدة 90 دقيقة ( ب4) من قطاعات الحديد يكسوها صاج من الجهتين مقاس (100×225) م لزوم باب المدخل الرئيسي والسعر يشمل الدهان والاكسسوارات وكل مايلزم لانهاء العمل طبقا لاصول الصناعة وتعليمات المهندس المشرف</t>
        </is>
      </c>
      <c r="I114" s="11" t="inlineStr">
        <is>
          <t>نعم</t>
        </is>
      </c>
      <c r="J114" s="11" t="n">
        <v>2031</v>
      </c>
      <c r="K114" s="11" t="inlineStr">
        <is>
          <t>لا يوجد مرفقات</t>
        </is>
      </c>
      <c r="L114" s="11" t="inlineStr">
        <is>
          <t>عدد</t>
        </is>
      </c>
      <c r="M114" s="11" t="n">
        <v>2</v>
      </c>
      <c r="N114" s="22" t="n">
        <v>3150</v>
      </c>
      <c r="O114" s="25">
        <f>N114*M114</f>
        <v/>
      </c>
      <c r="P114" s="23" t="n">
        <v>6300</v>
      </c>
    </row>
    <row r="115" ht="52.2" customHeight="1">
      <c r="D115" s="5" t="n">
        <v>82</v>
      </c>
      <c r="E115" s="5" t="n">
        <v>82</v>
      </c>
      <c r="F115" s="5" t="inlineStr">
        <is>
          <t>سكن العمال شباك الومنيوم ش1</t>
        </is>
      </c>
      <c r="G115" s="5" t="inlineStr">
        <is>
          <t>اعمال اعتيادية مباني معمارية 82</t>
        </is>
      </c>
      <c r="H115" s="5" t="inlineStr">
        <is>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115" s="11" t="inlineStr">
        <is>
          <t>نعم</t>
        </is>
      </c>
      <c r="J115" s="11" t="n">
        <v>2036</v>
      </c>
      <c r="K115" s="11" t="inlineStr">
        <is>
          <t>لا يوجد مرفقات</t>
        </is>
      </c>
      <c r="L115" s="11" t="inlineStr">
        <is>
          <t>عدد</t>
        </is>
      </c>
      <c r="M115" s="11" t="n">
        <v>13</v>
      </c>
      <c r="N115" s="22" t="n">
        <v>1330</v>
      </c>
      <c r="O115" s="25">
        <f>N115*M115</f>
        <v/>
      </c>
      <c r="P115" s="23" t="n">
        <v>17290</v>
      </c>
    </row>
    <row r="116" ht="52.2" customHeight="1">
      <c r="D116" s="5" t="n">
        <v>83</v>
      </c>
      <c r="E116" s="5" t="n">
        <v>83</v>
      </c>
      <c r="F116" s="5" t="inlineStr">
        <is>
          <t>سكن العمال شباك الومنيوم ش2</t>
        </is>
      </c>
      <c r="G116" s="5" t="inlineStr">
        <is>
          <t>اعمال اعتيادية مباني معمارية 83</t>
        </is>
      </c>
      <c r="H116" s="5" t="inlineStr">
        <is>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116" s="11" t="inlineStr">
        <is>
          <t>نعم</t>
        </is>
      </c>
      <c r="J116" s="11" t="n">
        <v>2036</v>
      </c>
      <c r="K116" s="11" t="inlineStr">
        <is>
          <t>لا يوجد مرفقات</t>
        </is>
      </c>
      <c r="L116" s="11" t="inlineStr">
        <is>
          <t>عدد</t>
        </is>
      </c>
      <c r="M116" s="11" t="n">
        <v>6</v>
      </c>
      <c r="N116" s="22" t="n">
        <v>1190</v>
      </c>
      <c r="O116" s="25">
        <f>N116*M116</f>
        <v/>
      </c>
      <c r="P116" s="23" t="n">
        <v>7140</v>
      </c>
    </row>
    <row r="117" ht="52.2" customHeight="1">
      <c r="D117" s="5" t="n">
        <v>84</v>
      </c>
      <c r="E117" s="5" t="n">
        <v>84</v>
      </c>
      <c r="F117" s="5" t="inlineStr">
        <is>
          <t>سكن العمال شباك الومنيوم ش3</t>
        </is>
      </c>
      <c r="G117" s="5" t="inlineStr">
        <is>
          <t>اعمال اعتيادية مباني معمارية 84</t>
        </is>
      </c>
      <c r="H117" s="5" t="inlineStr">
        <is>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117" s="11" t="inlineStr">
        <is>
          <t>نعم</t>
        </is>
      </c>
      <c r="J117" s="11" t="n">
        <v>2036</v>
      </c>
      <c r="K117" s="11" t="inlineStr">
        <is>
          <t>لا يوجد مرفقات</t>
        </is>
      </c>
      <c r="L117" s="11" t="inlineStr">
        <is>
          <t>عدد</t>
        </is>
      </c>
      <c r="M117" s="11" t="n">
        <v>2</v>
      </c>
      <c r="N117" s="22" t="n">
        <v>840</v>
      </c>
      <c r="O117" s="25">
        <f>N117*M117</f>
        <v/>
      </c>
      <c r="P117" s="23" t="n">
        <v>1680</v>
      </c>
    </row>
    <row r="118">
      <c r="D118" s="4" t="inlineStr">
        <is>
          <t>الرقم التسلسلي</t>
        </is>
      </c>
      <c r="E118" s="4" t="inlineStr">
        <is>
          <t>الفئة</t>
        </is>
      </c>
      <c r="F118" s="4" t="inlineStr">
        <is>
          <t>البند</t>
        </is>
      </c>
      <c r="G118" s="4" t="inlineStr">
        <is>
          <t>وصف البند</t>
        </is>
      </c>
      <c r="H118" s="4" t="inlineStr">
        <is>
          <t>المواصفات</t>
        </is>
      </c>
      <c r="I118" s="9" t="inlineStr">
        <is>
          <t>منتج من القائمة الإلزامية</t>
        </is>
      </c>
      <c r="J118" s="9" t="inlineStr">
        <is>
          <t>الرمز الإنشائي</t>
        </is>
      </c>
      <c r="K118" s="9" t="inlineStr">
        <is>
          <t>مرفقات</t>
        </is>
      </c>
      <c r="L118" s="9" t="inlineStr">
        <is>
          <t>وحدة القياس</t>
        </is>
      </c>
      <c r="M118" s="9" t="inlineStr">
        <is>
          <t>الكمية</t>
        </is>
      </c>
      <c r="N118" s="20" t="inlineStr">
        <is>
          <t>سعر الوحدة</t>
        </is>
      </c>
      <c r="O118" s="20" t="inlineStr">
        <is>
          <t>الإجمالي</t>
        </is>
      </c>
      <c r="P118" s="13" t="n"/>
    </row>
    <row r="119" ht="17.55" customHeight="1">
      <c r="D119" s="21" t="n"/>
      <c r="E119" s="21" t="n"/>
      <c r="F119" s="21" t="n"/>
      <c r="G119" s="21" t="n"/>
      <c r="H119" s="21" t="n"/>
      <c r="I119" s="21" t="n"/>
      <c r="J119" s="21" t="n"/>
      <c r="K119" s="21" t="n"/>
      <c r="L119" s="21" t="n"/>
      <c r="M119" s="21" t="n"/>
      <c r="N119" s="21" t="n"/>
      <c r="O119" s="21" t="n"/>
      <c r="P119" s="13" t="n"/>
    </row>
    <row r="120" ht="52.2" customHeight="1">
      <c r="D120" s="5" t="n">
        <v>85</v>
      </c>
      <c r="E120" s="5" t="n">
        <v>85</v>
      </c>
      <c r="F120" s="5" t="inlineStr">
        <is>
          <t>سكن العمال شباك الومنيوم ش4</t>
        </is>
      </c>
      <c r="G120" s="5" t="inlineStr">
        <is>
          <t>اعمال اعتيادية مباني معمارية 85</t>
        </is>
      </c>
      <c r="H120" s="5" t="inlineStr">
        <is>
          <t>بالعدد توريد وتركيب شباك الومنيوم ش4 مفصلي مقاس( 060×160)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لنهو البند ويجب على المقاول تقديم عينات للاعتماد وإختيار اللون والنوع من قبل المهندس المشرف طبقا للمخططات والمواصفات والشروط الفنية</t>
        </is>
      </c>
      <c r="I120" s="11" t="inlineStr">
        <is>
          <t>نعم</t>
        </is>
      </c>
      <c r="J120" s="11" t="n">
        <v>2036</v>
      </c>
      <c r="K120" s="11" t="inlineStr">
        <is>
          <t>لا يوجد مرفقات</t>
        </is>
      </c>
      <c r="L120" s="11" t="inlineStr">
        <is>
          <t>عدد</t>
        </is>
      </c>
      <c r="M120" s="11" t="n">
        <v>2</v>
      </c>
      <c r="N120" s="22" t="n">
        <v>840</v>
      </c>
      <c r="O120" s="25">
        <f>N120*M120</f>
        <v/>
      </c>
      <c r="P120" s="23" t="n">
        <v>1680</v>
      </c>
    </row>
    <row r="121" ht="34.8" customHeight="1">
      <c r="D121" s="5" t="n">
        <v>86</v>
      </c>
      <c r="E121" s="5" t="n">
        <v>86</v>
      </c>
      <c r="F121" s="5" t="inlineStr">
        <is>
          <t>سكن العمال تركيب دواليب علوية</t>
        </is>
      </c>
      <c r="G121" s="5" t="inlineStr">
        <is>
          <t>اعمال اعتيادية مباني معمارية 86</t>
        </is>
      </c>
      <c r="H121" s="5" t="inlineStr">
        <is>
          <t>بالمتر الطولى توريد وتركيب دواليب جدارية علوية بارتفاع 60 سم وعرض 40 سم للمطابخ من الالمنيوم وألواح الفورمايكا طبقا للعينة المعتمدة من المهندس المشرف وعمل كل ما يلزم لانهاء العمل طبقا لاصول الصناعة وتعليمات المهندس المشرف</t>
        </is>
      </c>
      <c r="I121" s="11" t="inlineStr">
        <is>
          <t>لا</t>
        </is>
      </c>
      <c r="J121" s="11" t="n"/>
      <c r="K121" s="11" t="inlineStr">
        <is>
          <t>لا يوجد مرفقات</t>
        </is>
      </c>
      <c r="L121" s="11" t="inlineStr">
        <is>
          <t>مط</t>
        </is>
      </c>
      <c r="M121" s="11" t="n">
        <v>7</v>
      </c>
      <c r="N121" s="22" t="n">
        <v>1680</v>
      </c>
      <c r="O121" s="25">
        <f>N121*M121</f>
        <v/>
      </c>
      <c r="P121" s="23" t="n">
        <v>11760</v>
      </c>
    </row>
    <row r="122" ht="34.8" customHeight="1">
      <c r="D122" s="5" t="n">
        <v>87</v>
      </c>
      <c r="E122" s="5" t="n">
        <v>87</v>
      </c>
      <c r="F122" s="5" t="inlineStr">
        <is>
          <t>سكن العمال تركيب دواليب سفلية</t>
        </is>
      </c>
      <c r="G122" s="5" t="inlineStr">
        <is>
          <t>اعمال اعتيادية مباني معمارية 87</t>
        </is>
      </c>
      <c r="H122" s="5" t="inlineStr">
        <is>
          <t>بالمتر الطولى توريد وتركيب دواليب جدارية سفلية بارتفاع 90 سم وعرض 50 سم للمطابخ من الالمنيوم وألواح الفورمايكا طبقا للعينة المعتمدة من المهندس المشرف والسعر محمل علية توريد وتركيب الرخام الصناعي أعلى الدولاب بسمك 2 سم م وعمل كل ما يلزم لانهاء العمل طبقا لاصول الصناعة وتعليمات المهندس المشرف</t>
        </is>
      </c>
      <c r="I122" s="11" t="inlineStr">
        <is>
          <t>لا</t>
        </is>
      </c>
      <c r="J122" s="11" t="n"/>
      <c r="K122" s="11" t="inlineStr">
        <is>
          <t>لا يوجد مرفقات</t>
        </is>
      </c>
      <c r="L122" s="11" t="inlineStr">
        <is>
          <t>مط</t>
        </is>
      </c>
      <c r="M122" s="11" t="n">
        <v>12</v>
      </c>
      <c r="N122" s="22" t="n">
        <v>1680</v>
      </c>
      <c r="O122" s="25">
        <f>N122*M122</f>
        <v/>
      </c>
      <c r="P122" s="23" t="n">
        <v>20160</v>
      </c>
    </row>
    <row r="123" ht="34.8" customHeight="1">
      <c r="D123" s="5" t="n">
        <v>88</v>
      </c>
      <c r="E123" s="5" t="n">
        <v>88</v>
      </c>
      <c r="F123" s="5" t="inlineStr">
        <is>
          <t>مبنى العيادة أعمال خرسانية بلوك 30 سم حوائط خارجية</t>
        </is>
      </c>
      <c r="G123" s="5" t="inlineStr">
        <is>
          <t>اعمال اعتيادية مباني معمارية 88</t>
        </is>
      </c>
      <c r="H123" s="5" t="inlineStr">
        <is>
          <t>الاعمال الاعتيادية مبنى العيادة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t>
        </is>
      </c>
      <c r="I123" s="11" t="inlineStr">
        <is>
          <t>نعم</t>
        </is>
      </c>
      <c r="J123" s="11" t="n">
        <v>2007</v>
      </c>
      <c r="K123" s="11" t="inlineStr">
        <is>
          <t>لا يوجد مرفقات</t>
        </is>
      </c>
      <c r="L123" s="11" t="inlineStr">
        <is>
          <t>م2</t>
        </is>
      </c>
      <c r="M123" s="11" t="n">
        <v>70</v>
      </c>
      <c r="N123" s="22" t="n">
        <v>105</v>
      </c>
      <c r="O123" s="25">
        <f>N123*M123</f>
        <v/>
      </c>
      <c r="P123" s="23" t="n">
        <v>7350</v>
      </c>
    </row>
    <row r="124" ht="34.8" customHeight="1">
      <c r="D124" s="5" t="n">
        <v>89</v>
      </c>
      <c r="E124" s="5" t="n">
        <v>89</v>
      </c>
      <c r="F124" s="5" t="inlineStr">
        <is>
          <t>مبنى العيادة أعمال خرسانية بلوك 10 سم حوائط داخلية</t>
        </is>
      </c>
      <c r="G124" s="5" t="inlineStr">
        <is>
          <t>اعمال اعتيادية مباني معمارية 89</t>
        </is>
      </c>
      <c r="H124" s="5" t="inlineStr">
        <is>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is>
      </c>
      <c r="I124" s="11" t="inlineStr">
        <is>
          <t>نعم</t>
        </is>
      </c>
      <c r="J124" s="11" t="n">
        <v>2007</v>
      </c>
      <c r="K124" s="11" t="inlineStr">
        <is>
          <t>لا يوجد مرفقات</t>
        </is>
      </c>
      <c r="L124" s="11" t="inlineStr">
        <is>
          <t>م2</t>
        </is>
      </c>
      <c r="M124" s="11" t="n">
        <v>12</v>
      </c>
      <c r="N124" s="22" t="n">
        <v>60</v>
      </c>
      <c r="O124" s="25">
        <f>N124*M124</f>
        <v/>
      </c>
      <c r="P124" s="23" t="n">
        <v>720</v>
      </c>
    </row>
    <row r="125" ht="34.8" customHeight="1">
      <c r="D125" s="5" t="n">
        <v>90</v>
      </c>
      <c r="E125" s="5" t="n">
        <v>90</v>
      </c>
      <c r="F125" s="5" t="inlineStr">
        <is>
          <t>مبنى العيادة أعمال لياسة للحوائط الداخلية</t>
        </is>
      </c>
      <c r="G125" s="5" t="inlineStr">
        <is>
          <t>اعمال اعتيادية مباني معمارية 90</t>
        </is>
      </c>
      <c r="H125" s="5" t="inlineStr">
        <is>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is>
      </c>
      <c r="I125" s="11" t="inlineStr">
        <is>
          <t>نعم</t>
        </is>
      </c>
      <c r="J125" s="11" t="n">
        <v>2049</v>
      </c>
      <c r="K125" s="11" t="inlineStr">
        <is>
          <t>لا يوجد مرفقات</t>
        </is>
      </c>
      <c r="L125" s="11" t="inlineStr">
        <is>
          <t>م2</t>
        </is>
      </c>
      <c r="M125" s="11" t="n">
        <v>140</v>
      </c>
      <c r="N125" s="22" t="n">
        <v>50</v>
      </c>
      <c r="O125" s="25">
        <f>N125*M125</f>
        <v/>
      </c>
      <c r="P125" s="23" t="n">
        <v>7000</v>
      </c>
    </row>
    <row r="126">
      <c r="D126" s="4" t="inlineStr">
        <is>
          <t>الرقم التسلسلي</t>
        </is>
      </c>
      <c r="E126" s="4" t="inlineStr">
        <is>
          <t>الفئة</t>
        </is>
      </c>
      <c r="F126" s="4" t="inlineStr">
        <is>
          <t>البند</t>
        </is>
      </c>
      <c r="G126" s="4" t="inlineStr">
        <is>
          <t>وصف البند</t>
        </is>
      </c>
      <c r="H126" s="4" t="inlineStr">
        <is>
          <t>المواصفات</t>
        </is>
      </c>
      <c r="I126" s="9" t="inlineStr">
        <is>
          <t>منتج من القائمة الإلزامية</t>
        </is>
      </c>
      <c r="J126" s="9" t="inlineStr">
        <is>
          <t>الرمز الإنشائي</t>
        </is>
      </c>
      <c r="K126" s="9" t="inlineStr">
        <is>
          <t>مرفقات</t>
        </is>
      </c>
      <c r="L126" s="9" t="inlineStr">
        <is>
          <t>وحدة القياس</t>
        </is>
      </c>
      <c r="M126" s="9" t="inlineStr">
        <is>
          <t>الكمية</t>
        </is>
      </c>
      <c r="N126" s="20" t="inlineStr">
        <is>
          <t>سعر الوحدة</t>
        </is>
      </c>
      <c r="O126" s="20" t="inlineStr">
        <is>
          <t>الإجمالي</t>
        </is>
      </c>
      <c r="P126" s="13" t="n"/>
    </row>
    <row r="127">
      <c r="D127" s="21" t="n"/>
      <c r="E127" s="21" t="n"/>
      <c r="F127" s="21" t="n"/>
      <c r="G127" s="21" t="n"/>
      <c r="H127" s="21" t="n"/>
      <c r="I127" s="21" t="n"/>
      <c r="J127" s="21" t="n"/>
      <c r="K127" s="21" t="n"/>
      <c r="L127" s="21" t="n"/>
      <c r="M127" s="21" t="n"/>
      <c r="N127" s="21" t="n"/>
      <c r="O127" s="21" t="n"/>
      <c r="P127" s="13" t="n"/>
    </row>
    <row r="128" ht="34.8" customHeight="1">
      <c r="D128" s="5" t="n">
        <v>91</v>
      </c>
      <c r="E128" s="5" t="n">
        <v>91</v>
      </c>
      <c r="F128" s="5" t="inlineStr">
        <is>
          <t>مبنى العيادة أعمال لياسة للحوائط الخارجية</t>
        </is>
      </c>
      <c r="G128" s="5" t="inlineStr">
        <is>
          <t>اعمال اعتيادية مباني معمارية 91</t>
        </is>
      </c>
      <c r="H128" s="5" t="inlineStr">
        <is>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is>
      </c>
      <c r="I128" s="11" t="inlineStr">
        <is>
          <t>نعم</t>
        </is>
      </c>
      <c r="J128" s="11" t="n">
        <v>2049</v>
      </c>
      <c r="K128" s="11" t="inlineStr">
        <is>
          <t>لا يوجد مرفقات</t>
        </is>
      </c>
      <c r="L128" s="11" t="inlineStr">
        <is>
          <t>م2</t>
        </is>
      </c>
      <c r="M128" s="11" t="n">
        <v>75</v>
      </c>
      <c r="N128" s="22" t="n">
        <v>50</v>
      </c>
      <c r="O128" s="25">
        <f>N128*M128</f>
        <v/>
      </c>
      <c r="P128" s="23" t="n">
        <v>3750</v>
      </c>
    </row>
    <row r="129" ht="52.2" customHeight="1">
      <c r="D129" s="5" t="n">
        <v>92</v>
      </c>
      <c r="E129" s="5" t="n">
        <v>92</v>
      </c>
      <c r="F129" s="5" t="inlineStr">
        <is>
          <t>مبنى العيادة أعمال دهانات داخلية</t>
        </is>
      </c>
      <c r="G129" s="5" t="inlineStr">
        <is>
          <t>اعمال اعتيادية مباني معمارية 92</t>
        </is>
      </c>
      <c r="H129" s="5" t="inlineStr">
        <is>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129" s="11" t="inlineStr">
        <is>
          <t>نعم</t>
        </is>
      </c>
      <c r="J129" s="11" t="n">
        <v>2048</v>
      </c>
      <c r="K129" s="11" t="inlineStr">
        <is>
          <t>لا يوجد مرفقات</t>
        </is>
      </c>
      <c r="L129" s="11" t="inlineStr">
        <is>
          <t>م2</t>
        </is>
      </c>
      <c r="M129" s="11" t="n">
        <v>75</v>
      </c>
      <c r="N129" s="22" t="n">
        <v>40</v>
      </c>
      <c r="O129" s="25">
        <f>N129*M129</f>
        <v/>
      </c>
      <c r="P129" s="23" t="n">
        <v>3000</v>
      </c>
    </row>
    <row r="130" ht="34.8" customHeight="1">
      <c r="D130" s="5" t="n">
        <v>93</v>
      </c>
      <c r="E130" s="5" t="n">
        <v>93</v>
      </c>
      <c r="F130" s="5" t="inlineStr">
        <is>
          <t>مبنى العيادة أعمال دهانات رشة امريكية</t>
        </is>
      </c>
      <c r="G130" s="5" t="inlineStr">
        <is>
          <t>اعمال اعتيادية مباني معمارية 93</t>
        </is>
      </c>
      <c r="H130" s="5" t="inlineStr">
        <is>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is>
      </c>
      <c r="I130" s="11" t="inlineStr">
        <is>
          <t>نعم</t>
        </is>
      </c>
      <c r="J130" s="11" t="n">
        <v>2048</v>
      </c>
      <c r="K130" s="11" t="inlineStr">
        <is>
          <t>لا يوجد مرفقات</t>
        </is>
      </c>
      <c r="L130" s="11" t="inlineStr">
        <is>
          <t>م2</t>
        </is>
      </c>
      <c r="M130" s="11" t="n">
        <v>17</v>
      </c>
      <c r="N130" s="22" t="n">
        <v>50</v>
      </c>
      <c r="O130" s="25">
        <f>N130*M130</f>
        <v/>
      </c>
      <c r="P130" s="23" t="n">
        <v>850</v>
      </c>
    </row>
    <row r="131" ht="34.8" customHeight="1">
      <c r="D131" s="5" t="n">
        <v>94</v>
      </c>
      <c r="E131" s="5" t="n">
        <v>94</v>
      </c>
      <c r="F131" s="5" t="inlineStr">
        <is>
          <t>مبنى العيادة أعمال دهانات بروفايل</t>
        </is>
      </c>
      <c r="G131" s="5" t="inlineStr">
        <is>
          <t>اعمال اعتيادية مباني معمارية 94</t>
        </is>
      </c>
      <c r="H131" s="5" t="inlineStr">
        <is>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131" s="11" t="inlineStr">
        <is>
          <t>نعم</t>
        </is>
      </c>
      <c r="J131" s="11" t="n">
        <v>2048</v>
      </c>
      <c r="K131" s="11" t="inlineStr">
        <is>
          <t>لا يوجد مرفقات</t>
        </is>
      </c>
      <c r="L131" s="11" t="inlineStr">
        <is>
          <t>م2</t>
        </is>
      </c>
      <c r="M131" s="11" t="n">
        <v>140</v>
      </c>
      <c r="N131" s="22" t="n">
        <v>50</v>
      </c>
      <c r="O131" s="25">
        <f>N131*M131</f>
        <v/>
      </c>
      <c r="P131" s="23" t="n">
        <v>7000</v>
      </c>
    </row>
    <row r="132" ht="34.8" customHeight="1">
      <c r="D132" s="5" t="n">
        <v>95</v>
      </c>
      <c r="E132" s="5" t="n">
        <v>95</v>
      </c>
      <c r="F132" s="5" t="inlineStr">
        <is>
          <t>مبنى العيادة أعمال دهانات للتغطية المعدنية</t>
        </is>
      </c>
      <c r="G132" s="5" t="inlineStr">
        <is>
          <t>اعمال اعتيادية مباني معمارية 95</t>
        </is>
      </c>
      <c r="H132" s="5" t="inlineStr">
        <is>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is>
      </c>
      <c r="I132" s="11" t="inlineStr">
        <is>
          <t>نعم</t>
        </is>
      </c>
      <c r="J132" s="11" t="n">
        <v>2048</v>
      </c>
      <c r="K132" s="11" t="inlineStr">
        <is>
          <t>لا يوجد مرفقات</t>
        </is>
      </c>
      <c r="L132" s="11" t="inlineStr">
        <is>
          <t>م2</t>
        </is>
      </c>
      <c r="M132" s="11" t="n">
        <v>225</v>
      </c>
      <c r="N132" s="22" t="n">
        <v>50</v>
      </c>
      <c r="O132" s="25">
        <f>N132*M132</f>
        <v/>
      </c>
      <c r="P132" s="23" t="n">
        <v>11250</v>
      </c>
    </row>
    <row r="133" ht="34.8" customHeight="1">
      <c r="D133" s="5" t="n">
        <v>96</v>
      </c>
      <c r="E133" s="5" t="n">
        <v>96</v>
      </c>
      <c r="F133" s="5" t="inlineStr">
        <is>
          <t>مبنى العيادة تركيب سفل جرانيت</t>
        </is>
      </c>
      <c r="G133" s="5" t="inlineStr">
        <is>
          <t>اعمال اعتيادية مباني معمارية 96</t>
        </is>
      </c>
      <c r="H133" s="5" t="inlineStr">
        <is>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is>
      </c>
      <c r="I133" s="11" t="inlineStr">
        <is>
          <t>نعم</t>
        </is>
      </c>
      <c r="J133" s="11" t="n">
        <v>2041</v>
      </c>
      <c r="K133" s="11" t="inlineStr">
        <is>
          <t>لا يوجد مرفقات</t>
        </is>
      </c>
      <c r="L133" s="11" t="inlineStr">
        <is>
          <t>مط</t>
        </is>
      </c>
      <c r="M133" s="11" t="n">
        <v>20</v>
      </c>
      <c r="N133" s="22" t="n">
        <v>250</v>
      </c>
      <c r="O133" s="25">
        <f>N133*M133</f>
        <v/>
      </c>
      <c r="P133" s="23" t="n">
        <v>5000</v>
      </c>
    </row>
    <row r="134">
      <c r="D134" s="4" t="inlineStr">
        <is>
          <t>لرقم التسلسلي</t>
        </is>
      </c>
      <c r="E134" s="4" t="inlineStr">
        <is>
          <t>الفئة</t>
        </is>
      </c>
      <c r="F134" s="4" t="inlineStr">
        <is>
          <t>البند</t>
        </is>
      </c>
      <c r="G134" s="4" t="inlineStr">
        <is>
          <t>وصف البند</t>
        </is>
      </c>
      <c r="H134" s="4" t="inlineStr">
        <is>
          <t>المواصفات</t>
        </is>
      </c>
      <c r="I134" s="9" t="inlineStr">
        <is>
          <t>منتج من القائمة الإلزامية</t>
        </is>
      </c>
      <c r="J134" s="9" t="inlineStr">
        <is>
          <t>الرمز الإنشائي</t>
        </is>
      </c>
      <c r="K134" s="9" t="inlineStr">
        <is>
          <t>مرفقات</t>
        </is>
      </c>
      <c r="L134" s="9" t="inlineStr">
        <is>
          <t>وحدة القياس</t>
        </is>
      </c>
      <c r="M134" s="9" t="inlineStr">
        <is>
          <t>الكمية</t>
        </is>
      </c>
      <c r="N134" s="20" t="inlineStr">
        <is>
          <t>سعر الوحدة</t>
        </is>
      </c>
      <c r="O134" s="20" t="inlineStr">
        <is>
          <t>الإجمالي</t>
        </is>
      </c>
      <c r="P134" s="13" t="n"/>
    </row>
    <row r="135">
      <c r="D135" s="21" t="n"/>
      <c r="E135" s="21" t="n"/>
      <c r="F135" s="21" t="n"/>
      <c r="G135" s="21" t="n"/>
      <c r="H135" s="21" t="n"/>
      <c r="I135" s="21" t="n"/>
      <c r="J135" s="21" t="n"/>
      <c r="K135" s="21" t="n"/>
      <c r="L135" s="21" t="n"/>
      <c r="M135" s="21" t="n"/>
      <c r="N135" s="21" t="n"/>
      <c r="O135" s="21" t="n"/>
      <c r="P135" s="13" t="n"/>
    </row>
    <row r="136" ht="52.2" customHeight="1">
      <c r="D136" s="5" t="n">
        <v>97</v>
      </c>
      <c r="E136" s="5" t="n">
        <v>97</v>
      </c>
      <c r="F136" s="5" t="inlineStr">
        <is>
          <t>مبنى العيادة تركيب بلاط بورسيلان</t>
        </is>
      </c>
      <c r="G136" s="5" t="inlineStr">
        <is>
          <t>اعمال اعتيادية مباني معمارية 97</t>
        </is>
      </c>
      <c r="H136" s="5" t="inlineStr">
        <is>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is>
      </c>
      <c r="I136" s="11" t="inlineStr">
        <is>
          <t>نعم</t>
        </is>
      </c>
      <c r="J136" s="11" t="n">
        <v>2041</v>
      </c>
      <c r="K136" s="11" t="inlineStr">
        <is>
          <t>لا يوجد مرفقات</t>
        </is>
      </c>
      <c r="L136" s="11" t="inlineStr">
        <is>
          <t>م2</t>
        </is>
      </c>
      <c r="M136" s="11" t="n">
        <v>16</v>
      </c>
      <c r="N136" s="22" t="n">
        <v>70</v>
      </c>
      <c r="O136" s="25">
        <f>N136*M136</f>
        <v/>
      </c>
      <c r="P136" s="23" t="n">
        <v>1120</v>
      </c>
    </row>
    <row r="137" ht="52.2" customHeight="1">
      <c r="D137" s="5" t="n">
        <v>98</v>
      </c>
      <c r="E137" s="5" t="n">
        <v>98</v>
      </c>
      <c r="F137" s="5" t="inlineStr">
        <is>
          <t>مبنى العيادة تركيب بلاط سيراميك</t>
        </is>
      </c>
      <c r="G137" s="5" t="inlineStr">
        <is>
          <t>اعمال اعتيادية مباني معمارية 98</t>
        </is>
      </c>
      <c r="H137" s="5" t="inlineStr">
        <is>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is>
      </c>
      <c r="I137" s="11" t="inlineStr">
        <is>
          <t>نعم</t>
        </is>
      </c>
      <c r="J137" s="11" t="n">
        <v>2041</v>
      </c>
      <c r="K137" s="11" t="inlineStr">
        <is>
          <t>لا يوجد مرفقات</t>
        </is>
      </c>
      <c r="L137" s="11" t="inlineStr">
        <is>
          <t>م2</t>
        </is>
      </c>
      <c r="M137" s="11" t="n">
        <v>3</v>
      </c>
      <c r="N137" s="22" t="n">
        <v>70</v>
      </c>
      <c r="O137" s="25">
        <f>N137*M137</f>
        <v/>
      </c>
      <c r="P137" s="23" t="n">
        <v>210</v>
      </c>
    </row>
    <row r="138" ht="52.2" customHeight="1">
      <c r="D138" s="5" t="n">
        <v>99</v>
      </c>
      <c r="E138" s="5" t="n">
        <v>99</v>
      </c>
      <c r="F138" s="5" t="inlineStr">
        <is>
          <t>مبنى العيادة تركيب سيراميك للحوائط</t>
        </is>
      </c>
      <c r="G138" s="5" t="inlineStr">
        <is>
          <t>اعمال اعتيادية مباني معمارية 99</t>
        </is>
      </c>
      <c r="H138" s="5" t="inlineStr">
        <is>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is>
      </c>
      <c r="I138" s="11" t="inlineStr">
        <is>
          <t>نعم</t>
        </is>
      </c>
      <c r="J138" s="11" t="n">
        <v>2041</v>
      </c>
      <c r="K138" s="11" t="inlineStr">
        <is>
          <t>لا يوجد مرفقات</t>
        </is>
      </c>
      <c r="L138" s="11" t="inlineStr">
        <is>
          <t>م2</t>
        </is>
      </c>
      <c r="M138" s="11" t="n">
        <v>23</v>
      </c>
      <c r="N138" s="22" t="n">
        <v>70</v>
      </c>
      <c r="O138" s="25">
        <f>N138*M138</f>
        <v/>
      </c>
      <c r="P138" s="23" t="n">
        <v>1610</v>
      </c>
    </row>
    <row r="139" ht="34.8" customHeight="1">
      <c r="D139" s="5" t="n">
        <v>100</v>
      </c>
      <c r="E139" s="5" t="n">
        <v>100</v>
      </c>
      <c r="F139" s="5" t="inlineStr">
        <is>
          <t>مبنى العيادة أعمال خرسانه خفيفة</t>
        </is>
      </c>
      <c r="G139" s="5" t="inlineStr">
        <is>
          <t>اعمال اعتيادية مباني معمارية 100</t>
        </is>
      </c>
      <c r="H139" s="5" t="inlineStr">
        <is>
          <t>بالمتر المسطح توريد وصب خرسانة (خفيفة) لميول الاسطح بسمك 7 سم طبقا للمواصفات واصول الصناعة وتعليمات المهندس المشرف</t>
        </is>
      </c>
      <c r="I139" s="11" t="inlineStr">
        <is>
          <t>نعم</t>
        </is>
      </c>
      <c r="J139" s="11" t="n">
        <v>2004</v>
      </c>
      <c r="K139" s="11" t="inlineStr">
        <is>
          <t>لا يوجد مرفقات</t>
        </is>
      </c>
      <c r="L139" s="11" t="inlineStr">
        <is>
          <t>م2</t>
        </is>
      </c>
      <c r="M139" s="11" t="n">
        <v>20</v>
      </c>
      <c r="N139" s="22" t="n">
        <v>35</v>
      </c>
      <c r="O139" s="25">
        <f>N139*M139</f>
        <v/>
      </c>
      <c r="P139" s="23" t="n">
        <v>700</v>
      </c>
    </row>
    <row r="140" ht="34.8" customHeight="1">
      <c r="D140" s="5" t="n">
        <v>101</v>
      </c>
      <c r="E140" s="5" t="n">
        <v>101</v>
      </c>
      <c r="F140" s="5" t="inlineStr">
        <is>
          <t>مبنى العيادة أعمال دهان بيتومين</t>
        </is>
      </c>
      <c r="G140" s="5" t="inlineStr">
        <is>
          <t>اعمال اعتيادية مباني معمارية 101</t>
        </is>
      </c>
      <c r="H140" s="5" t="inlineStr">
        <is>
          <t>بالمتر المسطح توريد و دهان وجهين بالبيتومين الساخن لزوم عزل الرطوبه الاسطح حسب المخططات والمواصفات وتعليمات المهندس المشرف</t>
        </is>
      </c>
      <c r="I140" s="11" t="inlineStr">
        <is>
          <t>نعم</t>
        </is>
      </c>
      <c r="J140" s="11" t="n">
        <v>2017</v>
      </c>
      <c r="K140" s="11" t="inlineStr">
        <is>
          <t>لا يوجد مرفقات</t>
        </is>
      </c>
      <c r="L140" s="11" t="inlineStr">
        <is>
          <t>م2</t>
        </is>
      </c>
      <c r="M140" s="11" t="n">
        <v>20</v>
      </c>
      <c r="N140" s="22" t="n">
        <v>25</v>
      </c>
      <c r="O140" s="25">
        <f>N140*M140</f>
        <v/>
      </c>
      <c r="P140" s="23" t="n">
        <v>500</v>
      </c>
    </row>
    <row r="141" ht="34.8" customHeight="1">
      <c r="D141" s="5" t="n">
        <v>102</v>
      </c>
      <c r="E141" s="5" t="n">
        <v>102</v>
      </c>
      <c r="F141" s="5" t="inlineStr">
        <is>
          <t>مبنى العيادة تركيب شرائح بيتومين مقوى</t>
        </is>
      </c>
      <c r="G141" s="5" t="inlineStr">
        <is>
          <t>اعمال اعتيادية مباني معمارية 102</t>
        </is>
      </c>
      <c r="H141" s="5" t="inlineStr">
        <is>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is>
      </c>
      <c r="I141" s="11" t="inlineStr">
        <is>
          <t>نعم</t>
        </is>
      </c>
      <c r="J141" s="11" t="n">
        <v>2017</v>
      </c>
      <c r="K141" s="11" t="inlineStr">
        <is>
          <t>لا يوجد مرفقات</t>
        </is>
      </c>
      <c r="L141" s="11" t="inlineStr">
        <is>
          <t>م2</t>
        </is>
      </c>
      <c r="M141" s="11" t="n">
        <v>20</v>
      </c>
      <c r="N141" s="22" t="n">
        <v>60</v>
      </c>
      <c r="O141" s="25">
        <f>N141*M141</f>
        <v/>
      </c>
      <c r="P141" s="23" t="n">
        <v>1200</v>
      </c>
    </row>
    <row r="142">
      <c r="D142" s="4" t="inlineStr">
        <is>
          <t>الرقم التسلسلي</t>
        </is>
      </c>
      <c r="E142" s="4" t="inlineStr">
        <is>
          <t>الفئة</t>
        </is>
      </c>
      <c r="F142" s="4" t="inlineStr">
        <is>
          <t>البند</t>
        </is>
      </c>
      <c r="G142" s="4" t="inlineStr">
        <is>
          <t>وصف البند</t>
        </is>
      </c>
      <c r="H142" s="4" t="inlineStr">
        <is>
          <t>المواصفات</t>
        </is>
      </c>
      <c r="I142" s="9" t="inlineStr">
        <is>
          <t>منتج من القائمة الإلزامية</t>
        </is>
      </c>
      <c r="J142" s="9" t="inlineStr">
        <is>
          <t>الرمز الإنشائي</t>
        </is>
      </c>
      <c r="K142" s="9" t="inlineStr">
        <is>
          <t>مرفقات</t>
        </is>
      </c>
      <c r="L142" s="9" t="inlineStr">
        <is>
          <t>وحدة القياس</t>
        </is>
      </c>
      <c r="M142" s="9" t="inlineStr">
        <is>
          <t>الكمية</t>
        </is>
      </c>
      <c r="N142" s="20" t="inlineStr">
        <is>
          <t>سعر الوحدة</t>
        </is>
      </c>
      <c r="O142" s="20" t="inlineStr">
        <is>
          <t>الإجمالي</t>
        </is>
      </c>
      <c r="P142" s="13" t="n"/>
    </row>
    <row r="143">
      <c r="D143" s="21" t="n"/>
      <c r="E143" s="21" t="n"/>
      <c r="F143" s="21" t="n"/>
      <c r="G143" s="21" t="n"/>
      <c r="H143" s="21" t="n"/>
      <c r="I143" s="21" t="n"/>
      <c r="J143" s="21" t="n"/>
      <c r="K143" s="21" t="n"/>
      <c r="L143" s="21" t="n"/>
      <c r="M143" s="21" t="n"/>
      <c r="N143" s="21" t="n"/>
      <c r="O143" s="21" t="n"/>
      <c r="P143" s="13" t="n"/>
    </row>
    <row r="144" ht="34.8" customHeight="1">
      <c r="D144" s="5" t="n">
        <v>103</v>
      </c>
      <c r="E144" s="5" t="n">
        <v>103</v>
      </c>
      <c r="F144" s="5" t="inlineStr">
        <is>
          <t>مبنى العيادة أعمال عزل</t>
        </is>
      </c>
      <c r="G144" s="5" t="inlineStr">
        <is>
          <t>اعمال اعتيادية مباني معمارية 103</t>
        </is>
      </c>
      <c r="H144" s="5" t="inlineStr">
        <is>
          <t>بالمتر المسطح توريد وتركيب طبقة عازلة للحرارة سمك 50 مم من الواح اكسترودد بوليسترين كثافة 35 كجم/ م3 للاسطح لزوم اسطح المباني</t>
        </is>
      </c>
      <c r="I144" s="11" t="inlineStr">
        <is>
          <t>نعم</t>
        </is>
      </c>
      <c r="J144" s="11" t="n">
        <v>2017</v>
      </c>
      <c r="K144" s="11" t="inlineStr">
        <is>
          <t>لا يوجد مرفقات</t>
        </is>
      </c>
      <c r="L144" s="11" t="inlineStr">
        <is>
          <t>م2</t>
        </is>
      </c>
      <c r="M144" s="11" t="n">
        <v>20</v>
      </c>
      <c r="N144" s="22" t="n">
        <v>40</v>
      </c>
      <c r="O144" s="25">
        <f>N144*M144</f>
        <v/>
      </c>
      <c r="P144" s="23" t="n">
        <v>800</v>
      </c>
    </row>
    <row r="145" ht="34.8" customHeight="1">
      <c r="D145" s="5" t="n">
        <v>104</v>
      </c>
      <c r="E145" s="5" t="n">
        <v>104</v>
      </c>
      <c r="F145" s="5" t="inlineStr">
        <is>
          <t>مبنى العيادة تركيب شرائح بوليثيلين</t>
        </is>
      </c>
      <c r="G145" s="5" t="inlineStr">
        <is>
          <t>اعمال اعتيادية مباني معمارية 104</t>
        </is>
      </c>
      <c r="H145" s="5" t="inlineStr">
        <is>
          <t>بالمتر المسطح توريد وتركيب طبقة من شرائح البوليثيلين سمك 200 ميكرون لزوم اسطح المباني طبقا للمواصفات وتعليمات المهندس المشرف</t>
        </is>
      </c>
      <c r="I145" s="11" t="inlineStr">
        <is>
          <t>نعم</t>
        </is>
      </c>
      <c r="J145" s="11" t="n">
        <v>2017</v>
      </c>
      <c r="K145" s="11" t="inlineStr">
        <is>
          <t>لا يوجد مرفقات</t>
        </is>
      </c>
      <c r="L145" s="11" t="inlineStr">
        <is>
          <t>م2</t>
        </is>
      </c>
      <c r="M145" s="11" t="n">
        <v>20</v>
      </c>
      <c r="N145" s="22" t="n">
        <v>7</v>
      </c>
      <c r="O145" s="25">
        <f>N145*M145</f>
        <v/>
      </c>
      <c r="P145" s="23" t="n">
        <v>140</v>
      </c>
    </row>
    <row r="146" ht="34.8" customHeight="1">
      <c r="D146" s="5" t="n">
        <v>105</v>
      </c>
      <c r="E146" s="5" t="n">
        <v>105</v>
      </c>
      <c r="F146" s="5" t="inlineStr">
        <is>
          <t>مبنى العيادة أعمال عزل للرطوبة</t>
        </is>
      </c>
      <c r="G146" s="5" t="inlineStr">
        <is>
          <t>اعمال اعتيادية مباني معمارية 105</t>
        </is>
      </c>
      <c r="H146" s="5" t="inlineStr">
        <is>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is>
      </c>
      <c r="I146" s="11" t="inlineStr">
        <is>
          <t>نعم</t>
        </is>
      </c>
      <c r="J146" s="11" t="n">
        <v>2017</v>
      </c>
      <c r="K146" s="11" t="inlineStr">
        <is>
          <t>لا يوجد مرفقات</t>
        </is>
      </c>
      <c r="L146" s="11" t="inlineStr">
        <is>
          <t>م2</t>
        </is>
      </c>
      <c r="M146" s="11" t="n">
        <v>20</v>
      </c>
      <c r="N146" s="22" t="n">
        <v>110</v>
      </c>
      <c r="O146" s="25">
        <f>N146*M146</f>
        <v/>
      </c>
      <c r="P146" s="23" t="n">
        <v>2200</v>
      </c>
    </row>
    <row r="147" ht="34.8" customHeight="1">
      <c r="D147" s="5" t="n">
        <v>106</v>
      </c>
      <c r="E147" s="5" t="n">
        <v>106</v>
      </c>
      <c r="F147" s="5" t="inlineStr">
        <is>
          <t>مبنى العيادة تركيب بلاط موزايكو</t>
        </is>
      </c>
      <c r="G147" s="5" t="inlineStr">
        <is>
          <t>اعمال اعتيادية مباني معمارية 106</t>
        </is>
      </c>
      <c r="H147" s="5" t="inlineStr">
        <is>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is>
      </c>
      <c r="I147" s="11" t="inlineStr">
        <is>
          <t>نعم</t>
        </is>
      </c>
      <c r="J147" s="11" t="n">
        <v>2041</v>
      </c>
      <c r="K147" s="11" t="inlineStr">
        <is>
          <t>لا يوجد مرفقات</t>
        </is>
      </c>
      <c r="L147" s="11" t="inlineStr">
        <is>
          <t>م2</t>
        </is>
      </c>
      <c r="M147" s="11" t="n">
        <v>20</v>
      </c>
      <c r="N147" s="22" t="n">
        <v>50</v>
      </c>
      <c r="O147" s="25">
        <f>N147*M147</f>
        <v/>
      </c>
      <c r="P147" s="23" t="n">
        <v>1000</v>
      </c>
    </row>
    <row r="148" ht="34.8" customHeight="1">
      <c r="D148" s="5" t="n">
        <v>107</v>
      </c>
      <c r="E148" s="5" t="n">
        <v>107</v>
      </c>
      <c r="F148" s="5" t="inlineStr">
        <is>
          <t>مبنى العيادة باب خشب ب1</t>
        </is>
      </c>
      <c r="G148" s="5" t="inlineStr">
        <is>
          <t>اعمال اعتيادية مباني معمارية 107</t>
        </is>
      </c>
      <c r="H148" s="5" t="inlineStr">
        <is>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is>
      </c>
      <c r="I148" s="11" t="inlineStr">
        <is>
          <t>نعم</t>
        </is>
      </c>
      <c r="J148" s="11" t="n">
        <v>2031</v>
      </c>
      <c r="K148" s="11" t="inlineStr">
        <is>
          <t>لا يوجد مرفقات</t>
        </is>
      </c>
      <c r="L148" s="11" t="inlineStr">
        <is>
          <t>عدد</t>
        </is>
      </c>
      <c r="M148" s="11" t="n">
        <v>1</v>
      </c>
      <c r="N148" s="22" t="n">
        <v>3150</v>
      </c>
      <c r="O148" s="25">
        <f>N148*M148</f>
        <v/>
      </c>
      <c r="P148" s="23" t="n">
        <v>3150</v>
      </c>
    </row>
    <row r="149" ht="52.2" customHeight="1">
      <c r="D149" s="5" t="n">
        <v>108</v>
      </c>
      <c r="E149" s="5" t="n">
        <v>108</v>
      </c>
      <c r="F149" s="5" t="inlineStr">
        <is>
          <t>مبنى العيادة ابواب ب2</t>
        </is>
      </c>
      <c r="G149" s="5" t="inlineStr">
        <is>
          <t>اعمال اعتيادية مباني معمارية 108</t>
        </is>
      </c>
      <c r="H149" s="5" t="inlineStr">
        <is>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is>
      </c>
      <c r="I149" s="11" t="inlineStr">
        <is>
          <t>نعم</t>
        </is>
      </c>
      <c r="J149" s="11" t="n">
        <v>2031</v>
      </c>
      <c r="K149" s="11" t="inlineStr">
        <is>
          <t>لا يوجد مرفقات</t>
        </is>
      </c>
      <c r="L149" s="11" t="inlineStr">
        <is>
          <t>عدد</t>
        </is>
      </c>
      <c r="M149" s="11" t="n">
        <v>1</v>
      </c>
      <c r="N149" s="22" t="n">
        <v>2380</v>
      </c>
      <c r="O149" s="25">
        <f>N149*M149</f>
        <v/>
      </c>
      <c r="P149" s="23" t="n">
        <v>2380</v>
      </c>
    </row>
    <row r="150">
      <c r="D150" s="4" t="inlineStr">
        <is>
          <t>الرقم التسلسلي</t>
        </is>
      </c>
      <c r="E150" s="4" t="inlineStr">
        <is>
          <t>الفئة</t>
        </is>
      </c>
      <c r="F150" s="4" t="inlineStr">
        <is>
          <t>البند</t>
        </is>
      </c>
      <c r="G150" s="4" t="inlineStr">
        <is>
          <t>وصف البند</t>
        </is>
      </c>
      <c r="H150" s="4" t="inlineStr">
        <is>
          <t>المواصفات</t>
        </is>
      </c>
      <c r="I150" s="9" t="inlineStr">
        <is>
          <t>منتج من القائمة الإلزامية</t>
        </is>
      </c>
      <c r="J150" s="9" t="inlineStr">
        <is>
          <t>الرمز الإنشائي</t>
        </is>
      </c>
      <c r="K150" s="9" t="inlineStr">
        <is>
          <t>مرفقات</t>
        </is>
      </c>
      <c r="L150" s="9" t="inlineStr">
        <is>
          <t>وحدة القياس</t>
        </is>
      </c>
      <c r="M150" s="9" t="inlineStr">
        <is>
          <t>الكمية</t>
        </is>
      </c>
      <c r="N150" s="20" t="inlineStr">
        <is>
          <t>سعر الوحدة</t>
        </is>
      </c>
      <c r="O150" s="20" t="inlineStr">
        <is>
          <t>الإجمالي</t>
        </is>
      </c>
      <c r="P150" s="13" t="n"/>
    </row>
    <row r="151">
      <c r="D151" s="21" t="n"/>
      <c r="E151" s="21" t="n"/>
      <c r="F151" s="21" t="n"/>
      <c r="G151" s="21" t="n"/>
      <c r="H151" s="21" t="n"/>
      <c r="I151" s="21" t="n"/>
      <c r="J151" s="21" t="n"/>
      <c r="K151" s="21" t="n"/>
      <c r="L151" s="21" t="n"/>
      <c r="M151" s="21" t="n"/>
      <c r="N151" s="21" t="n"/>
      <c r="O151" s="21" t="n"/>
      <c r="P151" s="13" t="n"/>
    </row>
    <row r="152" ht="52.2" customHeight="1">
      <c r="D152" s="5" t="n">
        <v>109</v>
      </c>
      <c r="E152" s="5" t="n">
        <v>109</v>
      </c>
      <c r="F152" s="5" t="inlineStr">
        <is>
          <t>مبنى العيادة شباك الومنيوم ش2</t>
        </is>
      </c>
      <c r="G152" s="5" t="inlineStr">
        <is>
          <t>اعمال اعتيادية مباني معمارية 109</t>
        </is>
      </c>
      <c r="H152" s="5" t="inlineStr">
        <is>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is>
      </c>
      <c r="I152" s="11" t="inlineStr">
        <is>
          <t>نعم</t>
        </is>
      </c>
      <c r="J152" s="11" t="n">
        <v>2036</v>
      </c>
      <c r="K152" s="11" t="inlineStr">
        <is>
          <t>لا يوجد مرفقات</t>
        </is>
      </c>
      <c r="L152" s="11" t="inlineStr">
        <is>
          <t>عدد</t>
        </is>
      </c>
      <c r="M152" s="11" t="n">
        <v>2</v>
      </c>
      <c r="N152" s="22" t="n">
        <v>1900</v>
      </c>
      <c r="O152" s="25">
        <f>N152*M152</f>
        <v/>
      </c>
      <c r="P152" s="23" t="n">
        <v>3800</v>
      </c>
    </row>
    <row r="153" ht="34.8" customHeight="1">
      <c r="D153" s="5" t="n">
        <v>110</v>
      </c>
      <c r="E153" s="5" t="n">
        <v>110</v>
      </c>
      <c r="F153" s="5" t="inlineStr">
        <is>
          <t>مخزن الاعلاف أعمال دهانات إيبوكسيه أ</t>
        </is>
      </c>
      <c r="G153" s="5" t="inlineStr">
        <is>
          <t>اعمال اعتيادية مباني معمارية 110</t>
        </is>
      </c>
      <c r="H153" s="5" t="inlineStr">
        <is>
          <t>مخزن الاعلاف 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is>
      </c>
      <c r="I153" s="11" t="inlineStr">
        <is>
          <t>نعم</t>
        </is>
      </c>
      <c r="J153" s="11" t="n">
        <v>2048</v>
      </c>
      <c r="K153" s="11" t="inlineStr">
        <is>
          <t>لا يوجد مرفقات</t>
        </is>
      </c>
      <c r="L153" s="11" t="inlineStr">
        <is>
          <t>م2</t>
        </is>
      </c>
      <c r="M153" s="11" t="n">
        <v>1950</v>
      </c>
      <c r="N153" s="22" t="n">
        <v>70</v>
      </c>
      <c r="O153" s="25">
        <f>N153*M153</f>
        <v/>
      </c>
      <c r="P153" s="23" t="n">
        <v>136500</v>
      </c>
    </row>
    <row r="154" ht="34.8" customHeight="1">
      <c r="D154" s="5" t="n">
        <v>111</v>
      </c>
      <c r="E154" s="5" t="n">
        <v>111</v>
      </c>
      <c r="F154" s="5" t="inlineStr">
        <is>
          <t>مخزن الاعلاف أعمال خرسانية بلوكات 300 مم</t>
        </is>
      </c>
      <c r="G154" s="5" t="inlineStr">
        <is>
          <t>اعمال اعتيادية مباني معمارية 111</t>
        </is>
      </c>
      <c r="H154" s="5" t="inlineStr">
        <is>
          <t>بلوكات من الطوب المعزول سمك 300 مم ( 150 بلوك +50 مم عزل حرارى+100مم بلوك)</t>
        </is>
      </c>
      <c r="I154" s="11" t="inlineStr">
        <is>
          <t>نعم</t>
        </is>
      </c>
      <c r="J154" s="11" t="n">
        <v>2007</v>
      </c>
      <c r="K154" s="11" t="inlineStr">
        <is>
          <t>لا يوجد مرفقات</t>
        </is>
      </c>
      <c r="L154" s="11" t="inlineStr">
        <is>
          <t>م2</t>
        </is>
      </c>
      <c r="M154" s="11" t="n">
        <v>1180</v>
      </c>
      <c r="N154" s="22" t="n">
        <v>105</v>
      </c>
      <c r="O154" s="25">
        <f>N154*M154</f>
        <v/>
      </c>
      <c r="P154" s="23" t="n">
        <v>123900</v>
      </c>
    </row>
    <row r="155" ht="52.2" customHeight="1">
      <c r="D155" s="5" t="n">
        <v>112</v>
      </c>
      <c r="E155" s="5" t="n">
        <v>112</v>
      </c>
      <c r="F155" s="5" t="inlineStr">
        <is>
          <t>مخزن الاعلاف أعمال دهانات بلاستيك للحوائط الداخليه</t>
        </is>
      </c>
      <c r="G155" s="5" t="inlineStr">
        <is>
          <t>اعمال اعتيادية مباني معمارية 112</t>
        </is>
      </c>
      <c r="H155" s="5" t="inlineStr">
        <is>
          <t>توريد وعمل دهانات بلاستيك للحوائط الداخليه والسعر يشمل بياض التخشين الاسمنتي سمك 20 مم اسفل الدهانات شاملاً كل الإكسسوارات المعدنيه المطلوبه ويشمل تجهيز الأسطح وعمل 3 اوجه من الدهانات باللون المطلوب والسعر يشمل جميع الإكسسوارات طبقاً لتعليمات المهندس وذلك طبقاً لمخططات ومستندات التعاقد وتوصيات الشركه المنتجه علي ان تعتمد العينات من المهندس قبل التوريد</t>
        </is>
      </c>
      <c r="I155" s="11" t="inlineStr">
        <is>
          <t>نعم</t>
        </is>
      </c>
      <c r="J155" s="11" t="n">
        <v>2048</v>
      </c>
      <c r="K155" s="11" t="inlineStr">
        <is>
          <t>لا يوجد مرفقات</t>
        </is>
      </c>
      <c r="L155" s="11" t="inlineStr">
        <is>
          <t>م2</t>
        </is>
      </c>
      <c r="M155" s="11" t="n">
        <v>4720</v>
      </c>
      <c r="N155" s="22" t="n">
        <v>80</v>
      </c>
      <c r="O155" s="25">
        <f>N155*M155</f>
        <v/>
      </c>
      <c r="P155" s="23" t="n">
        <v>377600</v>
      </c>
    </row>
    <row r="156" ht="34.8" customHeight="1">
      <c r="D156" s="5" t="n">
        <v>113</v>
      </c>
      <c r="E156" s="5" t="n">
        <v>113</v>
      </c>
      <c r="F156" s="5" t="inlineStr">
        <is>
          <t>مخزن الاعلاف أعمال دهانات إيبوكسيه ب</t>
        </is>
      </c>
      <c r="G156" s="5" t="inlineStr">
        <is>
          <t>اعمال اعتيادية مباني معمارية 113</t>
        </is>
      </c>
      <c r="H156" s="5" t="inlineStr">
        <is>
          <t>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is>
      </c>
      <c r="I156" s="11" t="inlineStr">
        <is>
          <t>نعم</t>
        </is>
      </c>
      <c r="J156" s="11" t="n">
        <v>2048</v>
      </c>
      <c r="K156" s="11" t="inlineStr">
        <is>
          <t>لا يوجد مرفقات</t>
        </is>
      </c>
      <c r="L156" s="11" t="inlineStr">
        <is>
          <t>م2</t>
        </is>
      </c>
      <c r="M156" s="11" t="n">
        <v>1950</v>
      </c>
      <c r="N156" s="22" t="n">
        <v>70</v>
      </c>
      <c r="O156" s="25">
        <f>N156*M156</f>
        <v/>
      </c>
      <c r="P156" s="23" t="n">
        <v>136500</v>
      </c>
    </row>
    <row r="157" ht="34.8" customHeight="1">
      <c r="D157" s="5" t="n">
        <v>114</v>
      </c>
      <c r="E157" s="5" t="n">
        <v>114</v>
      </c>
      <c r="F157" s="5" t="inlineStr">
        <is>
          <t>مخزن الاعلاف تركيب أبواب معدنيه منزلقه</t>
        </is>
      </c>
      <c r="G157" s="5" t="inlineStr">
        <is>
          <t>اعمال اعتيادية مباني معمارية 114</t>
        </is>
      </c>
      <c r="H157" s="5" t="inlineStr">
        <is>
          <t>توريد وتركيب أبواب معدنيه منزلقه لاعلي والسعر يشمل الحلوق والإطارات المعدنيه والدهانات ونظام التشغيل الميكانيكي والموتور والتوصيلات الكهربائيه ومفتاح التشغيل والخردوات والضلف المنزلقه ودلائل الحركه وجميع الإكسسوارات وذلك طبقاً لمخططات ومستندات التعاقد وتعليمات الشركه المنتجه علي ان يقوم المقاول بتقديم مخططات الورشه للمهندس للإعتماد قبل التركيب</t>
        </is>
      </c>
      <c r="I157" s="11" t="inlineStr">
        <is>
          <t>نعم</t>
        </is>
      </c>
      <c r="J157" s="11" t="n">
        <v>2031</v>
      </c>
      <c r="K157" s="11" t="inlineStr">
        <is>
          <t>لا يوجد مرفقات</t>
        </is>
      </c>
      <c r="L157" s="11" t="inlineStr">
        <is>
          <t>عدد</t>
        </is>
      </c>
      <c r="M157" s="11" t="n">
        <v>6</v>
      </c>
      <c r="N157" s="22" t="n">
        <v>3500</v>
      </c>
      <c r="O157" s="25">
        <f>N157*M157</f>
        <v/>
      </c>
      <c r="P157" s="23" t="n">
        <v>21000</v>
      </c>
    </row>
    <row r="158">
      <c r="D158" s="4" t="inlineStr">
        <is>
          <t>الرقم التسلسلي</t>
        </is>
      </c>
      <c r="E158" s="4" t="inlineStr">
        <is>
          <t>الفئة</t>
        </is>
      </c>
      <c r="F158" s="4" t="inlineStr">
        <is>
          <t>البند</t>
        </is>
      </c>
      <c r="G158" s="4" t="inlineStr">
        <is>
          <t>وصف البند</t>
        </is>
      </c>
      <c r="H158" s="4" t="inlineStr">
        <is>
          <t>المواصفات</t>
        </is>
      </c>
      <c r="I158" s="9" t="inlineStr">
        <is>
          <t>منتج من القائمة الإلزامية</t>
        </is>
      </c>
      <c r="J158" s="9" t="inlineStr">
        <is>
          <t>الرمز الإنشائي</t>
        </is>
      </c>
      <c r="K158" s="9" t="inlineStr">
        <is>
          <t>مرفقات</t>
        </is>
      </c>
      <c r="L158" s="9" t="inlineStr">
        <is>
          <t>وحدة القياس</t>
        </is>
      </c>
      <c r="M158" s="9" t="inlineStr">
        <is>
          <t>الكمية</t>
        </is>
      </c>
      <c r="N158" s="20" t="inlineStr">
        <is>
          <t>سعر الوحدة</t>
        </is>
      </c>
      <c r="O158" s="20" t="inlineStr">
        <is>
          <t>الإجمالي</t>
        </is>
      </c>
      <c r="P158" s="13" t="n"/>
    </row>
    <row r="159">
      <c r="D159" s="21" t="n"/>
      <c r="E159" s="21" t="n"/>
      <c r="F159" s="21" t="n"/>
      <c r="G159" s="21" t="n"/>
      <c r="H159" s="21" t="n"/>
      <c r="I159" s="21" t="n"/>
      <c r="J159" s="21" t="n"/>
      <c r="K159" s="21" t="n"/>
      <c r="L159" s="21" t="n"/>
      <c r="M159" s="21" t="n"/>
      <c r="N159" s="21" t="n"/>
      <c r="O159" s="21" t="n"/>
      <c r="P159" s="13" t="n"/>
    </row>
    <row r="160" ht="34.8" customHeight="1">
      <c r="D160" s="5" t="n">
        <v>115</v>
      </c>
      <c r="E160" s="5" t="n">
        <v>115</v>
      </c>
      <c r="F160" s="5" t="inlineStr">
        <is>
          <t>بيت شعر</t>
        </is>
      </c>
      <c r="G160" s="5" t="inlineStr">
        <is>
          <t>اعمال اعتيادية مباني معمارية 115</t>
        </is>
      </c>
      <c r="H160" s="5" t="inlineStr">
        <is>
          <t>توريد وتركيب بيت شعر بمساحة 45 متر مربع مبطن من الجوانب فقط و السقف اسود و ارتفاع الجوانب 180سم +40 سم بلاستك يدفن تحت التراب لمنع دخول الغبار أو اي شيء أخر</t>
        </is>
      </c>
      <c r="I160" s="11" t="inlineStr">
        <is>
          <t>لا</t>
        </is>
      </c>
      <c r="J160" s="11" t="n"/>
      <c r="K160" s="11" t="inlineStr">
        <is>
          <t>لا يوجد مرفقات</t>
        </is>
      </c>
      <c r="L160" s="11" t="inlineStr">
        <is>
          <t>م2</t>
        </is>
      </c>
      <c r="M160" s="11" t="n">
        <v>45</v>
      </c>
      <c r="N160" s="22" t="n">
        <v>2100</v>
      </c>
      <c r="O160" s="25">
        <f>N160*M160</f>
        <v/>
      </c>
      <c r="P160" s="23" t="n">
        <v>94500</v>
      </c>
    </row>
    <row r="161" ht="52.2" customHeight="1">
      <c r="D161" s="5" t="n">
        <v>116</v>
      </c>
      <c r="E161" s="5" t="n">
        <v>116</v>
      </c>
      <c r="F161" s="5" t="inlineStr">
        <is>
          <t>الحظائر</t>
        </is>
      </c>
      <c r="G161" s="5" t="inlineStr">
        <is>
          <t>اعمال اعتيادية انشائي 1</t>
        </is>
      </c>
      <c r="H161" s="5" t="inlineStr">
        <is>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is>
      </c>
      <c r="I161" s="11" t="inlineStr">
        <is>
          <t>نعم</t>
        </is>
      </c>
      <c r="J161" s="11" t="n">
        <v>2011</v>
      </c>
      <c r="K161" s="11" t="inlineStr">
        <is>
          <t>لا يوجد مرفقات</t>
        </is>
      </c>
      <c r="L161" s="11" t="inlineStr">
        <is>
          <t>عدد</t>
        </is>
      </c>
      <c r="M161" s="11" t="n">
        <v>22</v>
      </c>
      <c r="N161" s="22" t="n">
        <v>42000</v>
      </c>
      <c r="O161" s="25">
        <f>N161*M161</f>
        <v/>
      </c>
      <c r="P161" s="23" t="n">
        <v>924000</v>
      </c>
    </row>
    <row r="162" ht="34.8" customHeight="1">
      <c r="D162" s="5" t="n">
        <v>117</v>
      </c>
      <c r="E162" s="5" t="n">
        <v>117</v>
      </c>
      <c r="F162" s="5" t="inlineStr">
        <is>
          <t>غرفه مولد الكهرباء اعمال الحفر</t>
        </is>
      </c>
      <c r="G162" s="5" t="inlineStr">
        <is>
          <t>اعمال اعتيادية انشائي 2</t>
        </is>
      </c>
      <c r="H162"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162" s="11" t="inlineStr">
        <is>
          <t>لا</t>
        </is>
      </c>
      <c r="J162" s="11" t="n"/>
      <c r="K162" s="11" t="inlineStr">
        <is>
          <t>لا يوجد مرفقات</t>
        </is>
      </c>
      <c r="L162" s="11" t="inlineStr">
        <is>
          <t>م3</t>
        </is>
      </c>
      <c r="M162" s="11" t="n">
        <v>270</v>
      </c>
      <c r="N162" s="22" t="n">
        <v>50</v>
      </c>
      <c r="O162" s="25">
        <f>N162*M162</f>
        <v/>
      </c>
      <c r="P162" s="23" t="n">
        <v>13500</v>
      </c>
    </row>
    <row r="163">
      <c r="D163" s="5" t="n">
        <v>118</v>
      </c>
      <c r="E163" s="5" t="n">
        <v>118</v>
      </c>
      <c r="F163" s="5" t="inlineStr">
        <is>
          <t>غرفه مولد الكهرباء اعمال الردم</t>
        </is>
      </c>
      <c r="G163" s="5" t="inlineStr">
        <is>
          <t>اعمال اعتيادية انشائي 3</t>
        </is>
      </c>
      <c r="H163" s="5" t="inlineStr">
        <is>
          <t>اعمال الردم بمواد ردم إنشائية موردة معتمدة ومنتقاة بما في ذلك أعمال الدك اللازمة لتعويض المناسيب حول المبنى حسب المواصفات</t>
        </is>
      </c>
      <c r="I163" s="11" t="inlineStr">
        <is>
          <t>لا</t>
        </is>
      </c>
      <c r="J163" s="11" t="n"/>
      <c r="K163" s="11" t="inlineStr">
        <is>
          <t>لا يوجد مرفقات</t>
        </is>
      </c>
      <c r="L163" s="11" t="inlineStr">
        <is>
          <t>م3</t>
        </is>
      </c>
      <c r="M163" s="11" t="n">
        <v>210</v>
      </c>
      <c r="N163" s="22" t="n">
        <v>60</v>
      </c>
      <c r="O163" s="25">
        <f>N163*M163</f>
        <v/>
      </c>
      <c r="P163" s="23" t="n">
        <v>12600</v>
      </c>
    </row>
    <row r="164">
      <c r="D164" s="5" t="n">
        <v>119</v>
      </c>
      <c r="E164" s="5" t="n">
        <v>119</v>
      </c>
      <c r="F164" s="5" t="inlineStr">
        <is>
          <t>غرفه مولد الكهرباء أعمال خرسانة عادية</t>
        </is>
      </c>
      <c r="G164" s="5" t="inlineStr">
        <is>
          <t>اعمال اعتيادية انشائي 4</t>
        </is>
      </c>
      <c r="H164" s="5" t="inlineStr">
        <is>
          <t>توريد وعمل خرسانة عادية ( C24 ) أسفل القواعد بسماكة 100 مم طبقا للمواصفات على أن يكون الأسمنت مقاوم لأملاح الكبريتات</t>
        </is>
      </c>
      <c r="I164" s="11" t="inlineStr">
        <is>
          <t>نعم</t>
        </is>
      </c>
      <c r="J164" s="11" t="n">
        <v>2004</v>
      </c>
      <c r="K164" s="11" t="inlineStr">
        <is>
          <t>لا يوجد مرفقات</t>
        </is>
      </c>
      <c r="L164" s="11" t="inlineStr">
        <is>
          <t>م2</t>
        </is>
      </c>
      <c r="M164" s="11" t="n">
        <v>54</v>
      </c>
      <c r="N164" s="22" t="n">
        <v>300</v>
      </c>
      <c r="O164" s="25">
        <f>N164*M164</f>
        <v/>
      </c>
      <c r="P164" s="23" t="n">
        <v>16200</v>
      </c>
    </row>
    <row r="165" ht="34.8" customHeight="1">
      <c r="D165" s="5" t="n">
        <v>120</v>
      </c>
      <c r="E165" s="5" t="n">
        <v>120</v>
      </c>
      <c r="F165" s="5" t="inlineStr">
        <is>
          <t>غرفه مولد الكهرباء أعمال خرسانة مسلحة للقواعد</t>
        </is>
      </c>
      <c r="G165" s="5" t="inlineStr">
        <is>
          <t>اعمال اعتيادية انشائي 5</t>
        </is>
      </c>
      <c r="H165"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65" s="11" t="inlineStr">
        <is>
          <t>نعم</t>
        </is>
      </c>
      <c r="J165" s="11" t="n">
        <v>2004</v>
      </c>
      <c r="K165" s="11" t="inlineStr">
        <is>
          <t>لا يوجد مرفقات</t>
        </is>
      </c>
      <c r="L165" s="11" t="inlineStr">
        <is>
          <t>م3</t>
        </is>
      </c>
      <c r="M165" s="11" t="n">
        <v>27</v>
      </c>
      <c r="N165" s="22" t="n">
        <v>1300</v>
      </c>
      <c r="O165" s="25">
        <f>N165*M165</f>
        <v/>
      </c>
      <c r="P165" s="23" t="n">
        <v>35100</v>
      </c>
    </row>
    <row r="166">
      <c r="D166" s="4" t="inlineStr">
        <is>
          <t>الرقم التسلسلي</t>
        </is>
      </c>
      <c r="E166" s="4" t="inlineStr">
        <is>
          <t>الفئة</t>
        </is>
      </c>
      <c r="F166" s="4" t="inlineStr">
        <is>
          <t>البند</t>
        </is>
      </c>
      <c r="G166" s="4" t="inlineStr">
        <is>
          <t>وصف البند</t>
        </is>
      </c>
      <c r="H166" s="4" t="inlineStr">
        <is>
          <t>المواصفات</t>
        </is>
      </c>
      <c r="I166" s="9" t="inlineStr">
        <is>
          <t>منتج من القائمة الإلزامية</t>
        </is>
      </c>
      <c r="J166" s="9" t="inlineStr">
        <is>
          <t>الرمز الإنشائي</t>
        </is>
      </c>
      <c r="K166" s="9" t="inlineStr">
        <is>
          <t>مرفقات</t>
        </is>
      </c>
      <c r="L166" s="9" t="inlineStr">
        <is>
          <t>وحدة القياس</t>
        </is>
      </c>
      <c r="M166" s="9" t="inlineStr">
        <is>
          <t>الكمية</t>
        </is>
      </c>
      <c r="N166" s="20" t="inlineStr">
        <is>
          <t>سعر الوحدة</t>
        </is>
      </c>
      <c r="O166" s="20" t="inlineStr">
        <is>
          <t>الإجمالي</t>
        </is>
      </c>
      <c r="P166" s="13" t="n"/>
    </row>
    <row r="167">
      <c r="D167" s="21" t="n"/>
      <c r="E167" s="21" t="n"/>
      <c r="F167" s="21" t="n"/>
      <c r="G167" s="21" t="n"/>
      <c r="H167" s="21" t="n"/>
      <c r="I167" s="21" t="n"/>
      <c r="J167" s="21" t="n"/>
      <c r="K167" s="21" t="n"/>
      <c r="L167" s="21" t="n"/>
      <c r="M167" s="21" t="n"/>
      <c r="N167" s="21" t="n"/>
      <c r="O167" s="21" t="n"/>
      <c r="P167" s="13" t="n"/>
    </row>
    <row r="168" ht="34.8" customHeight="1">
      <c r="D168" s="5" t="n">
        <v>121</v>
      </c>
      <c r="E168" s="5" t="n">
        <v>121</v>
      </c>
      <c r="F168" s="5" t="inlineStr">
        <is>
          <t>غرفه مولد الكهرباء أعمال خرسانة مسلحة للميدات</t>
        </is>
      </c>
      <c r="G168" s="5" t="inlineStr">
        <is>
          <t>اعمال اعتيادية انشائي 6</t>
        </is>
      </c>
      <c r="H168" s="5" t="inlineStr">
        <is>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68" s="11" t="inlineStr">
        <is>
          <t>نعم</t>
        </is>
      </c>
      <c r="J168" s="11" t="n">
        <v>2004</v>
      </c>
      <c r="K168" s="11" t="inlineStr">
        <is>
          <t>لا يوجد مرفقات</t>
        </is>
      </c>
      <c r="L168" s="11" t="inlineStr">
        <is>
          <t>م3</t>
        </is>
      </c>
      <c r="M168" s="11" t="n">
        <v>9</v>
      </c>
      <c r="N168" s="22" t="n">
        <v>1300</v>
      </c>
      <c r="O168" s="25">
        <f>N168*M168</f>
        <v/>
      </c>
      <c r="P168" s="23" t="n">
        <v>11700</v>
      </c>
    </row>
    <row r="169" ht="34.8" customHeight="1">
      <c r="D169" s="5" t="n">
        <v>122</v>
      </c>
      <c r="E169" s="5" t="n">
        <v>122</v>
      </c>
      <c r="F169" s="5" t="inlineStr">
        <is>
          <t>غرفه مولد الكهرباء أعمال خرسانة مسلحة لرقابى الاعمدة</t>
        </is>
      </c>
      <c r="G169" s="5" t="inlineStr">
        <is>
          <t>اعمال اعتيادية انشائي 7</t>
        </is>
      </c>
      <c r="H169" s="5" t="inlineStr">
        <is>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69" s="11" t="inlineStr">
        <is>
          <t>نعم</t>
        </is>
      </c>
      <c r="J169" s="11" t="n">
        <v>2004</v>
      </c>
      <c r="K169" s="11" t="inlineStr">
        <is>
          <t>لا يوجد مرفقات</t>
        </is>
      </c>
      <c r="L169" s="11" t="inlineStr">
        <is>
          <t>م3</t>
        </is>
      </c>
      <c r="M169" s="11" t="n">
        <v>1</v>
      </c>
      <c r="N169" s="22" t="n">
        <v>1300</v>
      </c>
      <c r="O169" s="25">
        <f>N169*M169</f>
        <v/>
      </c>
      <c r="P169" s="23" t="n">
        <v>1300</v>
      </c>
    </row>
    <row r="170">
      <c r="D170" s="5" t="n">
        <v>123</v>
      </c>
      <c r="E170" s="5" t="n">
        <v>123</v>
      </c>
      <c r="F170" s="5" t="inlineStr">
        <is>
          <t>غرفه مولد الكهرباء تركيب بلاطة ارضية</t>
        </is>
      </c>
      <c r="G170" s="5" t="inlineStr">
        <is>
          <t>اعمال اعتيادية انشائي 8</t>
        </is>
      </c>
      <c r="H170" s="5" t="inlineStr">
        <is>
          <t>بلاطة ارضية سماكة 150 ملم ( خرسانة ملساء)</t>
        </is>
      </c>
      <c r="I170" s="11" t="inlineStr">
        <is>
          <t>نعم</t>
        </is>
      </c>
      <c r="J170" s="11" t="n">
        <v>2041</v>
      </c>
      <c r="K170" s="11" t="inlineStr">
        <is>
          <t>لا يوجد مرفقات</t>
        </is>
      </c>
      <c r="L170" s="11" t="inlineStr">
        <is>
          <t>م2</t>
        </is>
      </c>
      <c r="M170" s="11" t="n">
        <v>110</v>
      </c>
      <c r="N170" s="22" t="n">
        <v>400</v>
      </c>
      <c r="O170" s="25">
        <f>N170*M170</f>
        <v/>
      </c>
      <c r="P170" s="23" t="n">
        <v>44000</v>
      </c>
    </row>
    <row r="171" ht="34.8" customHeight="1">
      <c r="D171" s="5" t="n">
        <v>124</v>
      </c>
      <c r="E171" s="5" t="n">
        <v>124</v>
      </c>
      <c r="F171" s="5" t="inlineStr">
        <is>
          <t>غرفه مولد الكهرباء أعمال خرسانة مسلحة للاعمدة</t>
        </is>
      </c>
      <c r="G171" s="5" t="inlineStr">
        <is>
          <t>اعمال اعتيادية انشائي 9</t>
        </is>
      </c>
      <c r="H171"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171" s="11" t="inlineStr">
        <is>
          <t>نعم</t>
        </is>
      </c>
      <c r="J171" s="11" t="n">
        <v>2004</v>
      </c>
      <c r="K171" s="11" t="inlineStr">
        <is>
          <t>لا يوجد مرفقات</t>
        </is>
      </c>
      <c r="L171" s="11" t="inlineStr">
        <is>
          <t>م3</t>
        </is>
      </c>
      <c r="M171" s="11" t="n">
        <v>36</v>
      </c>
      <c r="N171" s="22" t="n">
        <v>1300</v>
      </c>
      <c r="O171" s="25">
        <f>N171*M171</f>
        <v/>
      </c>
      <c r="P171" s="23" t="n">
        <v>46800</v>
      </c>
    </row>
    <row r="172" ht="34.8" customHeight="1">
      <c r="D172" s="5" t="n">
        <v>125</v>
      </c>
      <c r="E172" s="5" t="n">
        <v>125</v>
      </c>
      <c r="F172" s="5" t="inlineStr">
        <is>
          <t>غرفه مولد الكهرباء أعمال خرسانة مسلحة للكمرات</t>
        </is>
      </c>
      <c r="G172" s="5" t="inlineStr">
        <is>
          <t>اعمال اعتيادية انشائي 10</t>
        </is>
      </c>
      <c r="H172" s="5" t="inlineStr">
        <is>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172" s="11" t="inlineStr">
        <is>
          <t>نعم</t>
        </is>
      </c>
      <c r="J172" s="11" t="n">
        <v>2004</v>
      </c>
      <c r="K172" s="11" t="inlineStr">
        <is>
          <t>لا يوجد مرفقات</t>
        </is>
      </c>
      <c r="L172" s="11" t="inlineStr">
        <is>
          <t>م3</t>
        </is>
      </c>
      <c r="M172" s="11" t="n">
        <v>8</v>
      </c>
      <c r="N172" s="22" t="n">
        <v>1300</v>
      </c>
      <c r="O172" s="25">
        <f>N172*M172</f>
        <v/>
      </c>
      <c r="P172" s="23" t="n">
        <v>10400</v>
      </c>
    </row>
    <row r="173" ht="34.8" customHeight="1">
      <c r="D173" s="5" t="n">
        <v>126</v>
      </c>
      <c r="E173" s="5" t="n">
        <v>126</v>
      </c>
      <c r="F173" s="5" t="inlineStr">
        <is>
          <t>غرفه مولد الكهرباء أعمال خرسانة مسلحة200مم</t>
        </is>
      </c>
      <c r="G173" s="5" t="inlineStr">
        <is>
          <t>اعمال اعتيادية انشائي 11</t>
        </is>
      </c>
      <c r="H173" s="5" t="inlineStr">
        <is>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173" s="11" t="inlineStr">
        <is>
          <t>نعم</t>
        </is>
      </c>
      <c r="J173" s="11" t="n">
        <v>2004</v>
      </c>
      <c r="K173" s="11" t="inlineStr">
        <is>
          <t>لا يوجد مرفقات</t>
        </is>
      </c>
      <c r="L173" s="11" t="inlineStr">
        <is>
          <t>م3</t>
        </is>
      </c>
      <c r="M173" s="11" t="n">
        <v>11</v>
      </c>
      <c r="N173" s="22" t="n">
        <v>1300</v>
      </c>
      <c r="O173" s="25">
        <f>N173*M173</f>
        <v/>
      </c>
      <c r="P173" s="23" t="n">
        <v>14300</v>
      </c>
    </row>
    <row r="174">
      <c r="D174" s="4" t="inlineStr">
        <is>
          <t>الرقم التسلسلي</t>
        </is>
      </c>
      <c r="E174" s="4" t="inlineStr">
        <is>
          <t>الفئة</t>
        </is>
      </c>
      <c r="F174" s="4" t="inlineStr">
        <is>
          <t>البند</t>
        </is>
      </c>
      <c r="G174" s="4" t="inlineStr">
        <is>
          <t>وصف البند</t>
        </is>
      </c>
      <c r="H174" s="4" t="inlineStr">
        <is>
          <t>المواصفات</t>
        </is>
      </c>
      <c r="I174" s="9" t="inlineStr">
        <is>
          <t>منتج من القائمة الإلزامية</t>
        </is>
      </c>
      <c r="J174" s="9" t="inlineStr">
        <is>
          <t>الرمز الإنشائي</t>
        </is>
      </c>
      <c r="K174" s="9" t="inlineStr">
        <is>
          <t>مرفقات</t>
        </is>
      </c>
      <c r="L174" s="9" t="inlineStr">
        <is>
          <t>وحدة القياس</t>
        </is>
      </c>
      <c r="M174" s="9" t="inlineStr">
        <is>
          <t>الكمية</t>
        </is>
      </c>
      <c r="N174" s="20" t="inlineStr">
        <is>
          <t>سعر الوحدة</t>
        </is>
      </c>
      <c r="O174" s="20" t="inlineStr">
        <is>
          <t>الإجمالي</t>
        </is>
      </c>
      <c r="P174" s="13" t="n"/>
    </row>
    <row r="175">
      <c r="D175" s="21" t="n"/>
      <c r="E175" s="21" t="n"/>
      <c r="F175" s="21" t="n"/>
      <c r="G175" s="21" t="n"/>
      <c r="H175" s="21" t="n"/>
      <c r="I175" s="21" t="n"/>
      <c r="J175" s="21" t="n"/>
      <c r="K175" s="21" t="n"/>
      <c r="L175" s="21" t="n"/>
      <c r="M175" s="21" t="n"/>
      <c r="N175" s="21" t="n"/>
      <c r="O175" s="21" t="n"/>
      <c r="P175" s="13" t="n"/>
    </row>
    <row r="176" ht="34.8" customHeight="1">
      <c r="D176" s="5" t="n">
        <v>127</v>
      </c>
      <c r="E176" s="5" t="n">
        <v>127</v>
      </c>
      <c r="F176" s="5" t="inlineStr">
        <is>
          <t>غرفه مولد الكهرباء أعمال خرسانة مسلحة160مم</t>
        </is>
      </c>
      <c r="G176" s="5" t="inlineStr">
        <is>
          <t>اعمال اعتيادية انشائي 12</t>
        </is>
      </c>
      <c r="H176" s="5" t="inlineStr">
        <is>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176" s="11" t="inlineStr">
        <is>
          <t>نعم</t>
        </is>
      </c>
      <c r="J176" s="11" t="n">
        <v>2004</v>
      </c>
      <c r="K176" s="11" t="inlineStr">
        <is>
          <t>لا يوجد مرفقات</t>
        </is>
      </c>
      <c r="L176" s="11" t="inlineStr">
        <is>
          <t>م3</t>
        </is>
      </c>
      <c r="M176" s="11" t="n">
        <v>7</v>
      </c>
      <c r="N176" s="22" t="n">
        <v>1300</v>
      </c>
      <c r="O176" s="25">
        <f>N176*M176</f>
        <v/>
      </c>
      <c r="P176" s="23" t="n">
        <v>9100</v>
      </c>
    </row>
    <row r="177">
      <c r="D177" s="5" t="n">
        <v>128</v>
      </c>
      <c r="E177" s="5" t="n">
        <v>128</v>
      </c>
      <c r="F177" s="5" t="inlineStr">
        <is>
          <t>غرفه مولد الكهرباء تركيب غشاء بولى اثيلين</t>
        </is>
      </c>
      <c r="G177" s="5" t="inlineStr">
        <is>
          <t>اعمال اعتيادية انشائي 13</t>
        </is>
      </c>
      <c r="H177" s="5" t="inlineStr">
        <is>
          <t>غشاء بولي اثيلين عيار 1000(أسفل البلاطه الأرضية والقواعد والميدات والمنحدرات )</t>
        </is>
      </c>
      <c r="I177" s="11" t="inlineStr">
        <is>
          <t>نعم</t>
        </is>
      </c>
      <c r="J177" s="11" t="n">
        <v>2017</v>
      </c>
      <c r="K177" s="11" t="inlineStr">
        <is>
          <t>لا يوجد مرفقات</t>
        </is>
      </c>
      <c r="L177" s="11" t="inlineStr">
        <is>
          <t>م2</t>
        </is>
      </c>
      <c r="M177" s="11" t="n">
        <v>110</v>
      </c>
      <c r="N177" s="22" t="n">
        <v>40</v>
      </c>
      <c r="O177" s="25">
        <f>N177*M177</f>
        <v/>
      </c>
      <c r="P177" s="23" t="n">
        <v>4400</v>
      </c>
    </row>
    <row r="178">
      <c r="D178" s="5" t="n">
        <v>129</v>
      </c>
      <c r="E178" s="5" t="n">
        <v>129</v>
      </c>
      <c r="F178" s="5" t="inlineStr">
        <is>
          <t>غرفه مولد الكهرباء تركيب غشاء بيتومينى</t>
        </is>
      </c>
      <c r="G178" s="5" t="inlineStr">
        <is>
          <t>اعمال اعتيادية انشائي 14</t>
        </is>
      </c>
      <c r="H178" s="5" t="inlineStr">
        <is>
          <t>تحضير السطوح وتنفيذ طبقتي غشاء بيتوميني سماكة كل منهما 4 ملم وطبقة لياسة سماكة 50 ملم للبلاطات الأرضية</t>
        </is>
      </c>
      <c r="I178" s="11" t="inlineStr">
        <is>
          <t>نعم</t>
        </is>
      </c>
      <c r="J178" s="11" t="n">
        <v>2017</v>
      </c>
      <c r="K178" s="11" t="inlineStr">
        <is>
          <t>لا يوجد مرفقات</t>
        </is>
      </c>
      <c r="L178" s="11" t="inlineStr">
        <is>
          <t>م2</t>
        </is>
      </c>
      <c r="M178" s="11" t="n">
        <v>110</v>
      </c>
      <c r="N178" s="22" t="n">
        <v>60</v>
      </c>
      <c r="O178" s="25">
        <f>N178*M178</f>
        <v/>
      </c>
      <c r="P178" s="23" t="n">
        <v>6600</v>
      </c>
    </row>
    <row r="179">
      <c r="D179" s="5" t="n">
        <v>130</v>
      </c>
      <c r="E179" s="5" t="n">
        <v>130</v>
      </c>
      <c r="F179" s="5" t="inlineStr">
        <is>
          <t>غرفه مولد الكهرباء أعمال طلاء بيتومينى</t>
        </is>
      </c>
      <c r="G179" s="5" t="inlineStr">
        <is>
          <t>اعمال اعتيادية انشائي 15</t>
        </is>
      </c>
      <c r="H179" s="5" t="inlineStr">
        <is>
          <t>تطبيق وجهين من طلاء بيتومين للمسطحات الخرسانية وطلاء تحضيري اولي اساس (للقواعد والميد و رقـاب الأعمدة والحنادق)</t>
        </is>
      </c>
      <c r="I179" s="11" t="inlineStr">
        <is>
          <t>نعم</t>
        </is>
      </c>
      <c r="J179" s="11" t="n">
        <v>2017</v>
      </c>
      <c r="K179" s="11" t="inlineStr">
        <is>
          <t>لا يوجد مرفقات</t>
        </is>
      </c>
      <c r="L179" s="11" t="inlineStr">
        <is>
          <t>م2</t>
        </is>
      </c>
      <c r="M179" s="11" t="n">
        <v>100</v>
      </c>
      <c r="N179" s="22" t="n">
        <v>25</v>
      </c>
      <c r="O179" s="25">
        <f>N179*M179</f>
        <v/>
      </c>
      <c r="P179" s="23" t="n">
        <v>2500</v>
      </c>
    </row>
    <row r="180" ht="34.8" customHeight="1">
      <c r="D180" s="5" t="n">
        <v>131</v>
      </c>
      <c r="E180" s="5" t="n">
        <v>131</v>
      </c>
      <c r="F180" s="5" t="inlineStr">
        <is>
          <t>سكن العمال اعمال الحفر</t>
        </is>
      </c>
      <c r="G180" s="5" t="inlineStr">
        <is>
          <t>اعمال اعتيادية انشائي 16</t>
        </is>
      </c>
      <c r="H180"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180" s="11" t="inlineStr">
        <is>
          <t>لا</t>
        </is>
      </c>
      <c r="J180" s="11" t="n"/>
      <c r="K180" s="11" t="inlineStr">
        <is>
          <t>لا يوجد مرفقات</t>
        </is>
      </c>
      <c r="L180" s="11" t="inlineStr">
        <is>
          <t>م3</t>
        </is>
      </c>
      <c r="M180" s="11" t="n">
        <v>140</v>
      </c>
      <c r="N180" s="22" t="n">
        <v>50</v>
      </c>
      <c r="O180" s="25">
        <f>N180*M180</f>
        <v/>
      </c>
      <c r="P180" s="23" t="n">
        <v>7000</v>
      </c>
    </row>
    <row r="181">
      <c r="D181" s="5" t="n">
        <v>132</v>
      </c>
      <c r="E181" s="5" t="n">
        <v>132</v>
      </c>
      <c r="F181" s="5" t="inlineStr">
        <is>
          <t>سكن العمال اعمال الردم</t>
        </is>
      </c>
      <c r="G181" s="5" t="inlineStr">
        <is>
          <t>اعمال اعتيادية انشائي 17</t>
        </is>
      </c>
      <c r="H181" s="5" t="inlineStr">
        <is>
          <t>اعمال الردم بمواد ردم إنشائية موردة معتمدة ومنتقاة بما في ذلك أعمال الدك اللازمة لتعويض المناسيب حول المبنى حسب المواصفات</t>
        </is>
      </c>
      <c r="I181" s="11" t="inlineStr">
        <is>
          <t>لا</t>
        </is>
      </c>
      <c r="J181" s="11" t="n"/>
      <c r="K181" s="11" t="inlineStr">
        <is>
          <t>لا يوجد مرفقات</t>
        </is>
      </c>
      <c r="L181" s="11" t="inlineStr">
        <is>
          <t>م3</t>
        </is>
      </c>
      <c r="M181" s="11" t="n">
        <v>70</v>
      </c>
      <c r="N181" s="22" t="n">
        <v>60</v>
      </c>
      <c r="O181" s="25">
        <f>N181*M181</f>
        <v/>
      </c>
      <c r="P181" s="23" t="n">
        <v>4200</v>
      </c>
    </row>
    <row r="182">
      <c r="D182" s="4" t="inlineStr">
        <is>
          <t>لرقم التسلسلي</t>
        </is>
      </c>
      <c r="E182" s="4" t="inlineStr">
        <is>
          <t>الفئة</t>
        </is>
      </c>
      <c r="F182" s="4" t="inlineStr">
        <is>
          <t>البند</t>
        </is>
      </c>
      <c r="G182" s="4" t="inlineStr">
        <is>
          <t>وصف البند</t>
        </is>
      </c>
      <c r="H182" s="4" t="inlineStr">
        <is>
          <t>المواصفات</t>
        </is>
      </c>
      <c r="I182" s="9" t="inlineStr">
        <is>
          <t>منتج من القائمة الإلزامية</t>
        </is>
      </c>
      <c r="J182" s="9" t="inlineStr">
        <is>
          <t>الرمز الإنشائي</t>
        </is>
      </c>
      <c r="K182" s="9" t="inlineStr">
        <is>
          <t>مرفقات</t>
        </is>
      </c>
      <c r="L182" s="9" t="inlineStr">
        <is>
          <t>وحدة القياس</t>
        </is>
      </c>
      <c r="M182" s="9" t="inlineStr">
        <is>
          <t>الكمية</t>
        </is>
      </c>
      <c r="N182" s="20" t="inlineStr">
        <is>
          <t>سعر الوحدة</t>
        </is>
      </c>
      <c r="O182" s="20" t="inlineStr">
        <is>
          <t>الإجمالي</t>
        </is>
      </c>
      <c r="P182" s="13" t="n"/>
    </row>
    <row r="183">
      <c r="D183" s="21" t="n"/>
      <c r="E183" s="21" t="n"/>
      <c r="F183" s="21" t="n"/>
      <c r="G183" s="21" t="n"/>
      <c r="H183" s="21" t="n"/>
      <c r="I183" s="21" t="n"/>
      <c r="J183" s="21" t="n"/>
      <c r="K183" s="21" t="n"/>
      <c r="L183" s="21" t="n"/>
      <c r="M183" s="21" t="n"/>
      <c r="N183" s="21" t="n"/>
      <c r="O183" s="21" t="n"/>
      <c r="P183" s="13" t="n"/>
    </row>
    <row r="184">
      <c r="D184" s="5" t="n">
        <v>133</v>
      </c>
      <c r="E184" s="5" t="n">
        <v>133</v>
      </c>
      <c r="F184" s="5" t="inlineStr">
        <is>
          <t>سكن العمال أعمال خرسانة عادية</t>
        </is>
      </c>
      <c r="G184" s="5" t="inlineStr">
        <is>
          <t>اعمال اعتيادية انشائي 18</t>
        </is>
      </c>
      <c r="H184" s="5" t="inlineStr">
        <is>
          <t>توريد وعمل خرسانة عادية ( C24 ) أسفل القواعد بسماكة 100 مم طبقا للمواصفات على أن يكون الأسمنت مقاوم لأملاح الكبريتات</t>
        </is>
      </c>
      <c r="I184" s="11" t="inlineStr">
        <is>
          <t>نعم</t>
        </is>
      </c>
      <c r="J184" s="11" t="n">
        <v>2004</v>
      </c>
      <c r="K184" s="11" t="inlineStr">
        <is>
          <t>لا يوجد مرفقات</t>
        </is>
      </c>
      <c r="L184" s="11" t="inlineStr">
        <is>
          <t>م2</t>
        </is>
      </c>
      <c r="M184" s="11" t="n">
        <v>125</v>
      </c>
      <c r="N184" s="22" t="n">
        <v>300</v>
      </c>
      <c r="O184" s="25">
        <f>N184*M184</f>
        <v/>
      </c>
      <c r="P184" s="23" t="n">
        <v>37500</v>
      </c>
    </row>
    <row r="185" ht="34.8" customHeight="1">
      <c r="D185" s="5" t="n">
        <v>134</v>
      </c>
      <c r="E185" s="5" t="n">
        <v>134</v>
      </c>
      <c r="F185" s="5" t="inlineStr">
        <is>
          <t>سكن العمال أعمال خرسانة مسلحة للقواعد</t>
        </is>
      </c>
      <c r="G185" s="5" t="inlineStr">
        <is>
          <t>اعمال اعتيادية انشائي 19</t>
        </is>
      </c>
      <c r="H185"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85" s="11" t="inlineStr">
        <is>
          <t>نعم</t>
        </is>
      </c>
      <c r="J185" s="11" t="n">
        <v>2004</v>
      </c>
      <c r="K185" s="11" t="inlineStr">
        <is>
          <t>لا يوجد مرفقات</t>
        </is>
      </c>
      <c r="L185" s="11" t="inlineStr">
        <is>
          <t>م3</t>
        </is>
      </c>
      <c r="M185" s="11" t="n">
        <v>65</v>
      </c>
      <c r="N185" s="22" t="n">
        <v>1300</v>
      </c>
      <c r="O185" s="25">
        <f>N185*M185</f>
        <v/>
      </c>
      <c r="P185" s="23" t="n">
        <v>84500</v>
      </c>
    </row>
    <row r="186" ht="34.8" customHeight="1">
      <c r="D186" s="5" t="n">
        <v>135</v>
      </c>
      <c r="E186" s="5" t="n">
        <v>135</v>
      </c>
      <c r="F186" s="5" t="inlineStr">
        <is>
          <t>سكن العمال أعمال خرسانة مسلحة للميدات</t>
        </is>
      </c>
      <c r="G186" s="5" t="inlineStr">
        <is>
          <t>اعمال اعتيادية انشائي 20</t>
        </is>
      </c>
      <c r="H186" s="5" t="inlineStr">
        <is>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86" s="11" t="inlineStr">
        <is>
          <t>نعم</t>
        </is>
      </c>
      <c r="J186" s="11" t="n">
        <v>2004</v>
      </c>
      <c r="K186" s="11" t="inlineStr">
        <is>
          <t>لا يوجد مرفقات</t>
        </is>
      </c>
      <c r="L186" s="11" t="inlineStr">
        <is>
          <t>م3</t>
        </is>
      </c>
      <c r="M186" s="11" t="n">
        <v>11</v>
      </c>
      <c r="N186" s="22" t="n">
        <v>1300</v>
      </c>
      <c r="O186" s="25">
        <f>N186*M186</f>
        <v/>
      </c>
      <c r="P186" s="23" t="n">
        <v>14300</v>
      </c>
    </row>
    <row r="187" ht="34.8" customHeight="1">
      <c r="D187" s="5" t="n">
        <v>136</v>
      </c>
      <c r="E187" s="5" t="n">
        <v>136</v>
      </c>
      <c r="F187" s="5" t="inlineStr">
        <is>
          <t>سكن العمال أعمال خرسانة مسلحة لرقابى الاعمدة</t>
        </is>
      </c>
      <c r="G187" s="5" t="inlineStr">
        <is>
          <t>اعمال اعتيادية انشائي 21</t>
        </is>
      </c>
      <c r="H187" s="5" t="inlineStr">
        <is>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187" s="11" t="inlineStr">
        <is>
          <t>نعم</t>
        </is>
      </c>
      <c r="J187" s="11" t="n">
        <v>2004</v>
      </c>
      <c r="K187" s="11" t="inlineStr">
        <is>
          <t>لا يوجد مرفقات</t>
        </is>
      </c>
      <c r="L187" s="11" t="inlineStr">
        <is>
          <t>م3</t>
        </is>
      </c>
      <c r="M187" s="11" t="n">
        <v>3</v>
      </c>
      <c r="N187" s="22" t="n">
        <v>1300</v>
      </c>
      <c r="O187" s="25">
        <f>N187*M187</f>
        <v/>
      </c>
      <c r="P187" s="23" t="n">
        <v>3900</v>
      </c>
    </row>
    <row r="188">
      <c r="D188" s="5" t="n">
        <v>137</v>
      </c>
      <c r="E188" s="5" t="n">
        <v>137</v>
      </c>
      <c r="F188" s="5" t="inlineStr">
        <is>
          <t>سكن العمال تركيب بلاطة 150ملم</t>
        </is>
      </c>
      <c r="G188" s="5" t="inlineStr">
        <is>
          <t>اعمال اعتيادية انشائي 22</t>
        </is>
      </c>
      <c r="H188" s="5" t="inlineStr">
        <is>
          <t>بلاطة ارضية سماكة 150 ملم ( خرسانة ملساء)</t>
        </is>
      </c>
      <c r="I188" s="11" t="inlineStr">
        <is>
          <t>نعم</t>
        </is>
      </c>
      <c r="J188" s="11" t="n">
        <v>2041</v>
      </c>
      <c r="K188" s="11" t="inlineStr">
        <is>
          <t>لا يوجد مرفقات</t>
        </is>
      </c>
      <c r="L188" s="11" t="inlineStr">
        <is>
          <t>م2</t>
        </is>
      </c>
      <c r="M188" s="11" t="n">
        <v>260</v>
      </c>
      <c r="N188" s="22" t="n">
        <v>300</v>
      </c>
      <c r="O188" s="25">
        <f>N188*M188</f>
        <v/>
      </c>
      <c r="P188" s="23" t="n">
        <v>78000</v>
      </c>
    </row>
    <row r="189" ht="34.8" customHeight="1">
      <c r="D189" s="5" t="n">
        <v>138</v>
      </c>
      <c r="E189" s="5" t="n">
        <v>138</v>
      </c>
      <c r="F189" s="5" t="inlineStr">
        <is>
          <t>سكن العمال أعمال خرسانة مسلحة للاعمدة</t>
        </is>
      </c>
      <c r="G189" s="5" t="inlineStr">
        <is>
          <t>اعمال اعتيادية انشائي 23</t>
        </is>
      </c>
      <c r="H189"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189" s="11" t="inlineStr">
        <is>
          <t>نعم</t>
        </is>
      </c>
      <c r="J189" s="11" t="n">
        <v>2004</v>
      </c>
      <c r="K189" s="11" t="inlineStr">
        <is>
          <t>لا يوجد مرفقات</t>
        </is>
      </c>
      <c r="L189" s="11" t="inlineStr">
        <is>
          <t>م3</t>
        </is>
      </c>
      <c r="M189" s="11" t="n">
        <v>13</v>
      </c>
      <c r="N189" s="22" t="n">
        <v>1300</v>
      </c>
      <c r="O189" s="25">
        <f>N189*M189</f>
        <v/>
      </c>
      <c r="P189" s="23" t="n">
        <v>16900</v>
      </c>
    </row>
    <row r="190">
      <c r="D190" s="4" t="inlineStr">
        <is>
          <t>رقم التسلسلي</t>
        </is>
      </c>
      <c r="E190" s="4" t="inlineStr">
        <is>
          <t>الفئة</t>
        </is>
      </c>
      <c r="F190" s="4" t="inlineStr">
        <is>
          <t>البند</t>
        </is>
      </c>
      <c r="G190" s="4" t="inlineStr">
        <is>
          <t>وصف البند</t>
        </is>
      </c>
      <c r="H190" s="4" t="inlineStr">
        <is>
          <t>المواصفات</t>
        </is>
      </c>
      <c r="I190" s="9" t="inlineStr">
        <is>
          <t>منتج من القائمة الإلزامية</t>
        </is>
      </c>
      <c r="J190" s="9" t="inlineStr">
        <is>
          <t>الرمز الإنشائي</t>
        </is>
      </c>
      <c r="K190" s="9" t="inlineStr">
        <is>
          <t>مرفقات</t>
        </is>
      </c>
      <c r="L190" s="9" t="inlineStr">
        <is>
          <t>وحدة القياس</t>
        </is>
      </c>
      <c r="M190" s="9" t="inlineStr">
        <is>
          <t>الكمية</t>
        </is>
      </c>
      <c r="N190" s="20" t="inlineStr">
        <is>
          <t>سعر الوحدة</t>
        </is>
      </c>
      <c r="O190" s="20" t="inlineStr">
        <is>
          <t>الإجمالي</t>
        </is>
      </c>
      <c r="P190" s="13" t="n"/>
    </row>
    <row r="191">
      <c r="D191" s="21" t="n"/>
      <c r="E191" s="21" t="n"/>
      <c r="F191" s="21" t="n"/>
      <c r="G191" s="21" t="n"/>
      <c r="H191" s="21" t="n"/>
      <c r="I191" s="21" t="n"/>
      <c r="J191" s="21" t="n"/>
      <c r="K191" s="21" t="n"/>
      <c r="L191" s="21" t="n"/>
      <c r="M191" s="21" t="n"/>
      <c r="N191" s="21" t="n"/>
      <c r="O191" s="21" t="n"/>
      <c r="P191" s="13" t="n"/>
    </row>
    <row r="192" ht="34.8" customHeight="1">
      <c r="D192" s="5" t="n">
        <v>139</v>
      </c>
      <c r="E192" s="5" t="n">
        <v>139</v>
      </c>
      <c r="F192" s="5" t="inlineStr">
        <is>
          <t>سكن العمال أعمال خرسانة مسلحة للكمرات</t>
        </is>
      </c>
      <c r="G192" s="5" t="inlineStr">
        <is>
          <t>اعمال اعتيادية انشائي 24</t>
        </is>
      </c>
      <c r="H192" s="5" t="inlineStr">
        <is>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192" s="11" t="inlineStr">
        <is>
          <t>نعم</t>
        </is>
      </c>
      <c r="J192" s="11" t="n">
        <v>2004</v>
      </c>
      <c r="K192" s="11" t="inlineStr">
        <is>
          <t>لا يوجد مرفقات</t>
        </is>
      </c>
      <c r="L192" s="11" t="inlineStr">
        <is>
          <t>م3</t>
        </is>
      </c>
      <c r="M192" s="11" t="n">
        <v>24</v>
      </c>
      <c r="N192" s="22" t="n">
        <v>1300</v>
      </c>
      <c r="O192" s="25">
        <f>N192*M192</f>
        <v/>
      </c>
      <c r="P192" s="23" t="n">
        <v>31200</v>
      </c>
    </row>
    <row r="193" ht="34.8" customHeight="1">
      <c r="D193" s="5" t="n">
        <v>140</v>
      </c>
      <c r="E193" s="5" t="n">
        <v>140</v>
      </c>
      <c r="F193" s="5" t="inlineStr">
        <is>
          <t>سكن العمال أعمال خرسانة مسلحة160مم</t>
        </is>
      </c>
      <c r="G193" s="5" t="inlineStr">
        <is>
          <t>اعمال اعتيادية انشائي 25</t>
        </is>
      </c>
      <c r="H193" s="5" t="inlineStr">
        <is>
          <t>توريد وعمل خرسانة مسلحة ( C 30 ) للبلاطات المصمتة سمك 160مم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193" s="11" t="inlineStr">
        <is>
          <t>نعم</t>
        </is>
      </c>
      <c r="J193" s="11" t="n">
        <v>2004</v>
      </c>
      <c r="K193" s="11" t="inlineStr">
        <is>
          <t>لا يوجد مرفقات</t>
        </is>
      </c>
      <c r="L193" s="11" t="inlineStr">
        <is>
          <t>م3</t>
        </is>
      </c>
      <c r="M193" s="11" t="n">
        <v>17</v>
      </c>
      <c r="N193" s="22" t="n">
        <v>1300</v>
      </c>
      <c r="O193" s="25">
        <f>N193*M193</f>
        <v/>
      </c>
      <c r="P193" s="23" t="n">
        <v>22100</v>
      </c>
    </row>
    <row r="194" ht="34.8" customHeight="1">
      <c r="D194" s="5" t="n">
        <v>141</v>
      </c>
      <c r="E194" s="5" t="n">
        <v>141</v>
      </c>
      <c r="F194" s="5" t="inlineStr">
        <is>
          <t>سكن العمال أعمال خرسانة مسلحة240مم</t>
        </is>
      </c>
      <c r="G194" s="5" t="inlineStr">
        <is>
          <t>اعمال اعتيادية انشائي 26</t>
        </is>
      </c>
      <c r="H194" s="5" t="inlineStr">
        <is>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194" s="11" t="inlineStr">
        <is>
          <t>نعم</t>
        </is>
      </c>
      <c r="J194" s="11" t="n">
        <v>2004</v>
      </c>
      <c r="K194" s="11" t="inlineStr">
        <is>
          <t>لا يوجد مرفقات</t>
        </is>
      </c>
      <c r="L194" s="11" t="inlineStr">
        <is>
          <t>م3</t>
        </is>
      </c>
      <c r="M194" s="11" t="n">
        <v>32</v>
      </c>
      <c r="N194" s="22" t="n">
        <v>1300</v>
      </c>
      <c r="O194" s="25">
        <f>N194*M194</f>
        <v/>
      </c>
      <c r="P194" s="23" t="n">
        <v>41600</v>
      </c>
    </row>
    <row r="195">
      <c r="D195" s="5" t="n">
        <v>142</v>
      </c>
      <c r="E195" s="5" t="n">
        <v>142</v>
      </c>
      <c r="F195" s="5" t="inlineStr">
        <is>
          <t>سكن العمال تركيب غشاء بولى اثيلين</t>
        </is>
      </c>
      <c r="G195" s="5" t="inlineStr">
        <is>
          <t>اعمال اعتيادية انشائي 27</t>
        </is>
      </c>
      <c r="H195" s="5" t="inlineStr">
        <is>
          <t>غشاء بولي اثيلين عيار 1000(أسفل البلاطه الأرضية والقواعد والميدات والمنحدرات )</t>
        </is>
      </c>
      <c r="I195" s="11" t="inlineStr">
        <is>
          <t>نعم</t>
        </is>
      </c>
      <c r="J195" s="11" t="n">
        <v>2017</v>
      </c>
      <c r="K195" s="11" t="inlineStr">
        <is>
          <t>لا يوجد مرفقات</t>
        </is>
      </c>
      <c r="L195" s="11" t="inlineStr">
        <is>
          <t>م2</t>
        </is>
      </c>
      <c r="M195" s="11" t="n">
        <v>260</v>
      </c>
      <c r="N195" s="22" t="n">
        <v>40</v>
      </c>
      <c r="O195" s="25">
        <f>N195*M195</f>
        <v/>
      </c>
      <c r="P195" s="23" t="n">
        <v>10400</v>
      </c>
    </row>
    <row r="196">
      <c r="D196" s="5" t="n">
        <v>143</v>
      </c>
      <c r="E196" s="5" t="n">
        <v>143</v>
      </c>
      <c r="F196" s="5" t="inlineStr">
        <is>
          <t>سكن العمال تركيب غشاء بيتومينى</t>
        </is>
      </c>
      <c r="G196" s="5" t="inlineStr">
        <is>
          <t>اعمال اعتيادية انشائي 28</t>
        </is>
      </c>
      <c r="H196" s="5" t="inlineStr">
        <is>
          <t>تحضير السطوح وتنفيذ طبقتي غشاء بيتوميني سماكة كل منهما 4 ملم وطبقة لياسة سماكة 50 ملم للبلاطات الأرضية</t>
        </is>
      </c>
      <c r="I196" s="11" t="inlineStr">
        <is>
          <t>نعم</t>
        </is>
      </c>
      <c r="J196" s="11" t="n">
        <v>2017</v>
      </c>
      <c r="K196" s="11" t="inlineStr">
        <is>
          <t>لا يوجد مرفقات</t>
        </is>
      </c>
      <c r="L196" s="11" t="inlineStr">
        <is>
          <t>م2</t>
        </is>
      </c>
      <c r="M196" s="11" t="n">
        <v>260</v>
      </c>
      <c r="N196" s="22" t="n">
        <v>60</v>
      </c>
      <c r="O196" s="25">
        <f>N196*M196</f>
        <v/>
      </c>
      <c r="P196" s="23" t="n">
        <v>15600</v>
      </c>
    </row>
    <row r="197">
      <c r="D197" s="5" t="n">
        <v>144</v>
      </c>
      <c r="E197" s="5" t="n">
        <v>144</v>
      </c>
      <c r="F197" s="5" t="inlineStr">
        <is>
          <t>سكن العمال أعمال طلاء بيتومينى</t>
        </is>
      </c>
      <c r="G197" s="5" t="inlineStr">
        <is>
          <t>اعمال اعتيادية انشائي 29</t>
        </is>
      </c>
      <c r="H197" s="5" t="inlineStr">
        <is>
          <t>تطبيق وجهين من طلاء بيتومين للمسطحات الخرسانية وطلاء تحضيري اولي اساس (للقواعد والميد و رقـاب الأعمدة والحنادق)</t>
        </is>
      </c>
      <c r="I197" s="11" t="inlineStr">
        <is>
          <t>نعم</t>
        </is>
      </c>
      <c r="J197" s="11" t="n">
        <v>2017</v>
      </c>
      <c r="K197" s="11" t="inlineStr">
        <is>
          <t>لا يوجد مرفقات</t>
        </is>
      </c>
      <c r="L197" s="11" t="inlineStr">
        <is>
          <t>م2</t>
        </is>
      </c>
      <c r="M197" s="11" t="n">
        <v>320</v>
      </c>
      <c r="N197" s="22" t="n">
        <v>30</v>
      </c>
      <c r="O197" s="25">
        <f>N197*M197</f>
        <v/>
      </c>
      <c r="P197" s="23" t="n">
        <v>9600</v>
      </c>
    </row>
    <row r="198">
      <c r="D198" s="4" t="inlineStr">
        <is>
          <t>لرقم التسلسلي</t>
        </is>
      </c>
      <c r="E198" s="4" t="inlineStr">
        <is>
          <t>الفئة</t>
        </is>
      </c>
      <c r="F198" s="4" t="inlineStr">
        <is>
          <t>البند</t>
        </is>
      </c>
      <c r="G198" s="4" t="inlineStr">
        <is>
          <t>وصف البند</t>
        </is>
      </c>
      <c r="H198" s="4" t="inlineStr">
        <is>
          <t>المواصفات</t>
        </is>
      </c>
      <c r="I198" s="9" t="inlineStr">
        <is>
          <t>منتج من القائمة الإلزامية</t>
        </is>
      </c>
      <c r="J198" s="9" t="inlineStr">
        <is>
          <t>الرمز الإنشائي</t>
        </is>
      </c>
      <c r="K198" s="9" t="inlineStr">
        <is>
          <t>مرفقات</t>
        </is>
      </c>
      <c r="L198" s="9" t="inlineStr">
        <is>
          <t>وحدة القياس</t>
        </is>
      </c>
      <c r="M198" s="9" t="inlineStr">
        <is>
          <t>الكمية</t>
        </is>
      </c>
      <c r="N198" s="20" t="inlineStr">
        <is>
          <t>سعر الوحدة</t>
        </is>
      </c>
      <c r="O198" s="20" t="inlineStr">
        <is>
          <t>الإجمالي</t>
        </is>
      </c>
      <c r="P198" s="13" t="n"/>
    </row>
    <row r="199">
      <c r="D199" s="21" t="n"/>
      <c r="E199" s="21" t="n"/>
      <c r="F199" s="21" t="n"/>
      <c r="G199" s="21" t="n"/>
      <c r="H199" s="21" t="n"/>
      <c r="I199" s="21" t="n"/>
      <c r="J199" s="21" t="n"/>
      <c r="K199" s="21" t="n"/>
      <c r="L199" s="21" t="n"/>
      <c r="M199" s="21" t="n"/>
      <c r="N199" s="21" t="n"/>
      <c r="O199" s="21" t="n"/>
      <c r="P199" s="13" t="n"/>
    </row>
    <row r="200" ht="34.8" customHeight="1">
      <c r="D200" s="5" t="n">
        <v>145</v>
      </c>
      <c r="E200" s="5" t="n">
        <v>145</v>
      </c>
      <c r="F200" s="5" t="inlineStr">
        <is>
          <t>غرفة الحراسة اعمال الحفر</t>
        </is>
      </c>
      <c r="G200" s="5" t="inlineStr">
        <is>
          <t>اعمال اعتيادية انشائي 30</t>
        </is>
      </c>
      <c r="H200"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200" s="11" t="inlineStr">
        <is>
          <t>لا</t>
        </is>
      </c>
      <c r="J200" s="11" t="n"/>
      <c r="K200" s="11" t="inlineStr">
        <is>
          <t>لا يوجد مرفقات</t>
        </is>
      </c>
      <c r="L200" s="11" t="inlineStr">
        <is>
          <t>م3</t>
        </is>
      </c>
      <c r="M200" s="11" t="n">
        <v>100</v>
      </c>
      <c r="N200" s="22" t="n">
        <v>50</v>
      </c>
      <c r="O200" s="25">
        <f>N200*M200</f>
        <v/>
      </c>
      <c r="P200" s="23" t="n">
        <v>5000</v>
      </c>
    </row>
    <row r="201">
      <c r="D201" s="5" t="n">
        <v>146</v>
      </c>
      <c r="E201" s="5" t="n">
        <v>146</v>
      </c>
      <c r="F201" s="5" t="inlineStr">
        <is>
          <t>غرفة الحراسة اعمال الردم</t>
        </is>
      </c>
      <c r="G201" s="5" t="inlineStr">
        <is>
          <t>اعمال اعتيادية انشائي 31</t>
        </is>
      </c>
      <c r="H201" s="5" t="inlineStr">
        <is>
          <t>اعمال الردم بمواد ردم إنشائية موردة معتمدة ومنتقاة بما في ذلك أعمال الدك اللازمة لتعويض المناسيب حول المبنى حسب المواصفات</t>
        </is>
      </c>
      <c r="I201" s="11" t="inlineStr">
        <is>
          <t>لا</t>
        </is>
      </c>
      <c r="J201" s="11" t="n"/>
      <c r="K201" s="11" t="inlineStr">
        <is>
          <t>لا يوجد مرفقات</t>
        </is>
      </c>
      <c r="L201" s="11" t="inlineStr">
        <is>
          <t>م3</t>
        </is>
      </c>
      <c r="M201" s="11" t="n">
        <v>65</v>
      </c>
      <c r="N201" s="22" t="n">
        <v>60</v>
      </c>
      <c r="O201" s="25">
        <f>N201*M201</f>
        <v/>
      </c>
      <c r="P201" s="23" t="n">
        <v>3900</v>
      </c>
    </row>
    <row r="202">
      <c r="D202" s="5" t="n">
        <v>147</v>
      </c>
      <c r="E202" s="5" t="n">
        <v>147</v>
      </c>
      <c r="F202" s="5" t="inlineStr">
        <is>
          <t>غرفة الحراسة أعمال خرسانة عادية</t>
        </is>
      </c>
      <c r="G202" s="5" t="inlineStr">
        <is>
          <t>اعمال اعتيادية انشائي 32</t>
        </is>
      </c>
      <c r="H202" s="5" t="inlineStr">
        <is>
          <t>توريد وعمل خرسانة عادية ( C24 ) أسفل القواعد بسماكة 100 مم طبقا للمواصفات على أن يكون الأسمنت مقاوم لأملاح الكبريتات</t>
        </is>
      </c>
      <c r="I202" s="11" t="inlineStr">
        <is>
          <t>نعم</t>
        </is>
      </c>
      <c r="J202" s="11" t="n">
        <v>2004</v>
      </c>
      <c r="K202" s="11" t="inlineStr">
        <is>
          <t>لا يوجد مرفقات</t>
        </is>
      </c>
      <c r="L202" s="11" t="inlineStr">
        <is>
          <t>م2</t>
        </is>
      </c>
      <c r="M202" s="11" t="n">
        <v>30</v>
      </c>
      <c r="N202" s="22" t="n">
        <v>300</v>
      </c>
      <c r="O202" s="25">
        <f>N202*M202</f>
        <v/>
      </c>
      <c r="P202" s="23" t="n">
        <v>9000</v>
      </c>
    </row>
    <row r="203" ht="34.8" customHeight="1">
      <c r="D203" s="5" t="n">
        <v>148</v>
      </c>
      <c r="E203" s="5" t="n">
        <v>148</v>
      </c>
      <c r="F203" s="5" t="inlineStr">
        <is>
          <t>غرفة الحراسة أعمال خرسانة مسلحة للقواعد</t>
        </is>
      </c>
      <c r="G203" s="5" t="inlineStr">
        <is>
          <t>اعمال اعتيادية انشائي 33</t>
        </is>
      </c>
      <c r="H203"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03" s="11" t="inlineStr">
        <is>
          <t>نعم</t>
        </is>
      </c>
      <c r="J203" s="11" t="n">
        <v>2004</v>
      </c>
      <c r="K203" s="11" t="inlineStr">
        <is>
          <t>لا يوجد مرفقات</t>
        </is>
      </c>
      <c r="L203" s="11" t="inlineStr">
        <is>
          <t>م3</t>
        </is>
      </c>
      <c r="M203" s="11" t="n">
        <v>30</v>
      </c>
      <c r="N203" s="22" t="n">
        <v>1300</v>
      </c>
      <c r="O203" s="25">
        <f>N203*M203</f>
        <v/>
      </c>
      <c r="P203" s="23" t="n">
        <v>39000</v>
      </c>
    </row>
    <row r="204" ht="34.8" customHeight="1">
      <c r="D204" s="5" t="n">
        <v>149</v>
      </c>
      <c r="E204" s="5" t="n">
        <v>149</v>
      </c>
      <c r="F204" s="5" t="inlineStr">
        <is>
          <t>غرفة الحراسة أعمال خرسانة مسلحة للميدات</t>
        </is>
      </c>
      <c r="G204" s="5" t="inlineStr">
        <is>
          <t>اعمال اعتيادية انشائي 34</t>
        </is>
      </c>
      <c r="H204" s="5" t="inlineStr">
        <is>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04" s="11" t="inlineStr">
        <is>
          <t>نعم</t>
        </is>
      </c>
      <c r="J204" s="11" t="n">
        <v>2004</v>
      </c>
      <c r="K204" s="11" t="inlineStr">
        <is>
          <t>لا يوجد مرفقات</t>
        </is>
      </c>
      <c r="L204" s="11" t="inlineStr">
        <is>
          <t>م3</t>
        </is>
      </c>
      <c r="M204" s="11" t="n">
        <v>6</v>
      </c>
      <c r="N204" s="22" t="n">
        <v>1300</v>
      </c>
      <c r="O204" s="25">
        <f>N204*M204</f>
        <v/>
      </c>
      <c r="P204" s="23" t="n">
        <v>7800</v>
      </c>
    </row>
    <row r="205" ht="34.8" customHeight="1">
      <c r="D205" s="5" t="n">
        <v>150</v>
      </c>
      <c r="E205" s="5" t="n">
        <v>150</v>
      </c>
      <c r="F205" s="5" t="inlineStr">
        <is>
          <t>غرفة الحراسة أعمال خرسانة مسلحة لرقابى الاعمدة</t>
        </is>
      </c>
      <c r="G205" s="5" t="inlineStr">
        <is>
          <t>اعمال اعتيادية انشائي 35</t>
        </is>
      </c>
      <c r="H205" s="5" t="inlineStr">
        <is>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05" s="11" t="inlineStr">
        <is>
          <t>نعم</t>
        </is>
      </c>
      <c r="J205" s="11" t="n">
        <v>2004</v>
      </c>
      <c r="K205" s="11" t="inlineStr">
        <is>
          <t>لا يوجد مرفقات</t>
        </is>
      </c>
      <c r="L205" s="11" t="inlineStr">
        <is>
          <t>م3</t>
        </is>
      </c>
      <c r="M205" s="11" t="n">
        <v>25</v>
      </c>
      <c r="N205" s="22" t="n">
        <v>1300</v>
      </c>
      <c r="O205" s="25">
        <f>N205*M205</f>
        <v/>
      </c>
      <c r="P205" s="23" t="n">
        <v>32500</v>
      </c>
    </row>
    <row r="206">
      <c r="D206" s="4" t="inlineStr">
        <is>
          <t>لرقم التسلسلي</t>
        </is>
      </c>
      <c r="E206" s="4" t="inlineStr">
        <is>
          <t>الفئة</t>
        </is>
      </c>
      <c r="F206" s="4" t="inlineStr">
        <is>
          <t>البند</t>
        </is>
      </c>
      <c r="G206" s="4" t="inlineStr">
        <is>
          <t>وصف البند</t>
        </is>
      </c>
      <c r="H206" s="4" t="inlineStr">
        <is>
          <t>المواصفات</t>
        </is>
      </c>
      <c r="I206" s="9" t="inlineStr">
        <is>
          <t>منتج من القائمة الإلزامية</t>
        </is>
      </c>
      <c r="J206" s="9" t="inlineStr">
        <is>
          <t>الرمز الإنشائي</t>
        </is>
      </c>
      <c r="K206" s="9" t="inlineStr">
        <is>
          <t>مرفقات</t>
        </is>
      </c>
      <c r="L206" s="9" t="inlineStr">
        <is>
          <t>وحدة القياس</t>
        </is>
      </c>
      <c r="M206" s="9" t="inlineStr">
        <is>
          <t>الكمية</t>
        </is>
      </c>
      <c r="N206" s="20" t="inlineStr">
        <is>
          <t>سعر الوحدة</t>
        </is>
      </c>
      <c r="O206" s="20" t="inlineStr">
        <is>
          <t>الإجمالي</t>
        </is>
      </c>
      <c r="P206" s="13" t="n"/>
    </row>
    <row r="207">
      <c r="D207" s="21" t="n"/>
      <c r="E207" s="21" t="n"/>
      <c r="F207" s="21" t="n"/>
      <c r="G207" s="21" t="n"/>
      <c r="H207" s="21" t="n"/>
      <c r="I207" s="21" t="n"/>
      <c r="J207" s="21" t="n"/>
      <c r="K207" s="21" t="n"/>
      <c r="L207" s="21" t="n"/>
      <c r="M207" s="21" t="n"/>
      <c r="N207" s="21" t="n"/>
      <c r="O207" s="21" t="n"/>
      <c r="P207" s="13" t="n"/>
    </row>
    <row r="208">
      <c r="D208" s="5" t="n">
        <v>151</v>
      </c>
      <c r="E208" s="5" t="n">
        <v>151</v>
      </c>
      <c r="F208" s="5" t="inlineStr">
        <is>
          <t>غرفة الحراسة تركيب بلاطة ارضية</t>
        </is>
      </c>
      <c r="G208" s="5" t="inlineStr">
        <is>
          <t>اعمال اعتيادية انشائي 36</t>
        </is>
      </c>
      <c r="H208" s="5" t="inlineStr">
        <is>
          <t>بلاطة ارضية سماكة 150 ملم ( خرسانة ملساء)</t>
        </is>
      </c>
      <c r="I208" s="11" t="inlineStr">
        <is>
          <t>نعم</t>
        </is>
      </c>
      <c r="J208" s="11" t="n">
        <v>2041</v>
      </c>
      <c r="K208" s="11" t="inlineStr">
        <is>
          <t>لا يوجد مرفقات</t>
        </is>
      </c>
      <c r="L208" s="11" t="inlineStr">
        <is>
          <t>م2</t>
        </is>
      </c>
      <c r="M208" s="11" t="n">
        <v>72</v>
      </c>
      <c r="N208" s="22" t="n">
        <v>300</v>
      </c>
      <c r="O208" s="25">
        <f>N208*M208</f>
        <v/>
      </c>
      <c r="P208" s="23" t="n">
        <v>21600</v>
      </c>
    </row>
    <row r="209" ht="34.8" customHeight="1">
      <c r="D209" s="5" t="n">
        <v>152</v>
      </c>
      <c r="E209" s="5" t="n">
        <v>152</v>
      </c>
      <c r="F209" s="5" t="inlineStr">
        <is>
          <t>غرفة الحراسة أعمال خرسانة مسلحة للاعمدة</t>
        </is>
      </c>
      <c r="G209" s="5" t="inlineStr">
        <is>
          <t>اعمال اعتيادية انشائي 37</t>
        </is>
      </c>
      <c r="H209"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09" s="11" t="inlineStr">
        <is>
          <t>نعم</t>
        </is>
      </c>
      <c r="J209" s="11" t="n">
        <v>2004</v>
      </c>
      <c r="K209" s="11" t="inlineStr">
        <is>
          <t>لا يوجد مرفقات</t>
        </is>
      </c>
      <c r="L209" s="11" t="inlineStr">
        <is>
          <t>م3</t>
        </is>
      </c>
      <c r="M209" s="11" t="n">
        <v>13</v>
      </c>
      <c r="N209" s="22" t="n">
        <v>1300</v>
      </c>
      <c r="O209" s="25">
        <f>N209*M209</f>
        <v/>
      </c>
      <c r="P209" s="23" t="n">
        <v>16900</v>
      </c>
    </row>
    <row r="210" ht="34.8" customHeight="1">
      <c r="D210" s="5" t="n">
        <v>153</v>
      </c>
      <c r="E210" s="5" t="n">
        <v>153</v>
      </c>
      <c r="F210" s="5" t="inlineStr">
        <is>
          <t>غرفة الحراسة أعمال خرسانة مسلحة للكمرات</t>
        </is>
      </c>
      <c r="G210" s="5" t="inlineStr">
        <is>
          <t>اعمال اعتيادية انشائي 38</t>
        </is>
      </c>
      <c r="H210" s="5" t="inlineStr">
        <is>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10" s="11" t="inlineStr">
        <is>
          <t>نعم</t>
        </is>
      </c>
      <c r="J210" s="11" t="n">
        <v>2004</v>
      </c>
      <c r="K210" s="11" t="inlineStr">
        <is>
          <t>لا يوجد مرفقات</t>
        </is>
      </c>
      <c r="L210" s="11" t="inlineStr">
        <is>
          <t>م3</t>
        </is>
      </c>
      <c r="M210" s="11" t="n">
        <v>6</v>
      </c>
      <c r="N210" s="22" t="n">
        <v>1300</v>
      </c>
      <c r="O210" s="25">
        <f>N210*M210</f>
        <v/>
      </c>
      <c r="P210" s="23" t="n">
        <v>7800</v>
      </c>
    </row>
    <row r="211" ht="34.8" customHeight="1">
      <c r="D211" s="5" t="n">
        <v>154</v>
      </c>
      <c r="E211" s="5" t="n">
        <v>154</v>
      </c>
      <c r="F211" s="5" t="inlineStr">
        <is>
          <t>غرفة الحراسة أعمال خرسانة مسلحة 200 مم</t>
        </is>
      </c>
      <c r="G211" s="5" t="inlineStr">
        <is>
          <t>اعمال اعتيادية انشائي 39</t>
        </is>
      </c>
      <c r="H211" s="5" t="inlineStr">
        <is>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211" s="11" t="inlineStr">
        <is>
          <t>نعم</t>
        </is>
      </c>
      <c r="J211" s="11" t="n">
        <v>2004</v>
      </c>
      <c r="K211" s="11" t="inlineStr">
        <is>
          <t>لا يوجد مرفقات</t>
        </is>
      </c>
      <c r="L211" s="11" t="inlineStr">
        <is>
          <t>م3</t>
        </is>
      </c>
      <c r="M211" s="11" t="n">
        <v>15</v>
      </c>
      <c r="N211" s="22" t="n">
        <v>1300</v>
      </c>
      <c r="O211" s="25">
        <f>N211*M211</f>
        <v/>
      </c>
      <c r="P211" s="23" t="n">
        <v>19500</v>
      </c>
    </row>
    <row r="212">
      <c r="D212" s="5" t="n">
        <v>155</v>
      </c>
      <c r="E212" s="5" t="n">
        <v>155</v>
      </c>
      <c r="F212" s="5" t="inlineStr">
        <is>
          <t>غرفة الحراسة تركيب غشاء بولى اثيلين</t>
        </is>
      </c>
      <c r="G212" s="5" t="inlineStr">
        <is>
          <t>اعمال اعتيادية انشائي 40</t>
        </is>
      </c>
      <c r="H212" s="5" t="inlineStr">
        <is>
          <t>غشاء بولي اثيلين عيار 1000(أسفل البلاطه الأرضية والقواعد والميدات والمنحدرات )</t>
        </is>
      </c>
      <c r="I212" s="11" t="inlineStr">
        <is>
          <t>نعم</t>
        </is>
      </c>
      <c r="J212" s="11" t="n">
        <v>2017</v>
      </c>
      <c r="K212" s="11" t="inlineStr">
        <is>
          <t>لا يوجد مرفقات</t>
        </is>
      </c>
      <c r="L212" s="11" t="inlineStr">
        <is>
          <t>م2</t>
        </is>
      </c>
      <c r="M212" s="11" t="n">
        <v>72</v>
      </c>
      <c r="N212" s="22" t="n">
        <v>40</v>
      </c>
      <c r="O212" s="25">
        <f>N212*M212</f>
        <v/>
      </c>
      <c r="P212" s="23" t="n">
        <v>2880</v>
      </c>
    </row>
    <row r="213">
      <c r="D213" s="5" t="n">
        <v>156</v>
      </c>
      <c r="E213" s="5" t="n">
        <v>156</v>
      </c>
      <c r="F213" s="5" t="inlineStr">
        <is>
          <t>غرفة الحراسة تركيب غشاء بيوتمينى</t>
        </is>
      </c>
      <c r="G213" s="5" t="inlineStr">
        <is>
          <t>اعمال اعتيادية انشائي 41</t>
        </is>
      </c>
      <c r="H213" s="5" t="inlineStr">
        <is>
          <t>تحضير السطوح وتنفيذ طبقتي غشاء بيتوميني سماكة كل منهما 4 ملم وطبقة لياسة سماكة 50 ملم للبلاطات الأرضية</t>
        </is>
      </c>
      <c r="I213" s="11" t="inlineStr">
        <is>
          <t>نعم</t>
        </is>
      </c>
      <c r="J213" s="11" t="n">
        <v>2017</v>
      </c>
      <c r="K213" s="11" t="inlineStr">
        <is>
          <t>لا يوجد مرفقات</t>
        </is>
      </c>
      <c r="L213" s="11" t="inlineStr">
        <is>
          <t>م2</t>
        </is>
      </c>
      <c r="M213" s="11" t="n">
        <v>72</v>
      </c>
      <c r="N213" s="22" t="n">
        <v>60</v>
      </c>
      <c r="O213" s="25">
        <f>N213*M213</f>
        <v/>
      </c>
      <c r="P213" s="23" t="n">
        <v>4320</v>
      </c>
    </row>
    <row r="214">
      <c r="D214" s="4" t="inlineStr">
        <is>
          <t>لرقم التسلسلي</t>
        </is>
      </c>
      <c r="E214" s="4" t="inlineStr">
        <is>
          <t>الفئة</t>
        </is>
      </c>
      <c r="F214" s="4" t="inlineStr">
        <is>
          <t>البند</t>
        </is>
      </c>
      <c r="G214" s="4" t="inlineStr">
        <is>
          <t>وصف البند</t>
        </is>
      </c>
      <c r="H214" s="4" t="inlineStr">
        <is>
          <t>المواصفات</t>
        </is>
      </c>
      <c r="I214" s="9" t="inlineStr">
        <is>
          <t>منتج من القائمة الإلزامية</t>
        </is>
      </c>
      <c r="J214" s="9" t="inlineStr">
        <is>
          <t>الرمز الإنشائي</t>
        </is>
      </c>
      <c r="K214" s="9" t="inlineStr">
        <is>
          <t>مرفقات</t>
        </is>
      </c>
      <c r="L214" s="9" t="inlineStr">
        <is>
          <t>وحدة القياس</t>
        </is>
      </c>
      <c r="M214" s="9" t="inlineStr">
        <is>
          <t>الكمية</t>
        </is>
      </c>
      <c r="N214" s="20" t="inlineStr">
        <is>
          <t>سعر الوحدة</t>
        </is>
      </c>
      <c r="O214" s="20" t="inlineStr">
        <is>
          <t>الإجمالي</t>
        </is>
      </c>
      <c r="P214" s="13" t="n"/>
    </row>
    <row r="215">
      <c r="D215" s="21" t="n"/>
      <c r="E215" s="21" t="n"/>
      <c r="F215" s="21" t="n"/>
      <c r="G215" s="21" t="n"/>
      <c r="H215" s="21" t="n"/>
      <c r="I215" s="21" t="n"/>
      <c r="J215" s="21" t="n"/>
      <c r="K215" s="21" t="n"/>
      <c r="L215" s="21" t="n"/>
      <c r="M215" s="21" t="n"/>
      <c r="N215" s="21" t="n"/>
      <c r="O215" s="21" t="n"/>
      <c r="P215" s="13" t="n"/>
    </row>
    <row r="216">
      <c r="D216" s="5" t="n">
        <v>157</v>
      </c>
      <c r="E216" s="5" t="n">
        <v>157</v>
      </c>
      <c r="F216" s="5" t="inlineStr">
        <is>
          <t>غرفة الحراسة أعمال طلاء بيتومينى</t>
        </is>
      </c>
      <c r="G216" s="5" t="inlineStr">
        <is>
          <t>اعمال اعتيادية انشائي 42</t>
        </is>
      </c>
      <c r="H216" s="5" t="inlineStr">
        <is>
          <t>تطبيق وجهين من طلاء بيتومين للمسطحات الخرسانية وطلاء تحضيري اولي اساس (للقواعد والميد و رقـاب الأعمدة والحنادق)</t>
        </is>
      </c>
      <c r="I216" s="11" t="inlineStr">
        <is>
          <t>نعم</t>
        </is>
      </c>
      <c r="J216" s="11" t="n">
        <v>2017</v>
      </c>
      <c r="K216" s="11" t="inlineStr">
        <is>
          <t>لا يوجد مرفقات</t>
        </is>
      </c>
      <c r="L216" s="11" t="inlineStr">
        <is>
          <t>م2</t>
        </is>
      </c>
      <c r="M216" s="11" t="n">
        <v>200</v>
      </c>
      <c r="N216" s="22" t="n">
        <v>25</v>
      </c>
      <c r="O216" s="25">
        <f>N216*M216</f>
        <v/>
      </c>
      <c r="P216" s="23" t="n">
        <v>5000</v>
      </c>
    </row>
    <row r="217" ht="34.8" customHeight="1">
      <c r="D217" s="5" t="n">
        <v>158</v>
      </c>
      <c r="E217" s="5" t="n">
        <v>158</v>
      </c>
      <c r="F217" s="5" t="inlineStr">
        <is>
          <t>خزان الوقود اعمال الحفر</t>
        </is>
      </c>
      <c r="G217" s="5" t="inlineStr">
        <is>
          <t>اعمال اعتيادية انشائي 43</t>
        </is>
      </c>
      <c r="H217"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217" s="11" t="inlineStr">
        <is>
          <t>لا</t>
        </is>
      </c>
      <c r="J217" s="11" t="n"/>
      <c r="K217" s="11" t="inlineStr">
        <is>
          <t>لا يوجد مرفقات</t>
        </is>
      </c>
      <c r="L217" s="11" t="inlineStr">
        <is>
          <t>م3</t>
        </is>
      </c>
      <c r="M217" s="11" t="n">
        <v>90</v>
      </c>
      <c r="N217" s="22" t="n">
        <v>50</v>
      </c>
      <c r="O217" s="25">
        <f>N217*M217</f>
        <v/>
      </c>
      <c r="P217" s="23" t="n">
        <v>4500</v>
      </c>
    </row>
    <row r="218">
      <c r="D218" s="5" t="n">
        <v>159</v>
      </c>
      <c r="E218" s="5" t="n">
        <v>159</v>
      </c>
      <c r="F218" s="5" t="inlineStr">
        <is>
          <t>خزان الوقود اعمال الردم</t>
        </is>
      </c>
      <c r="G218" s="5" t="inlineStr">
        <is>
          <t>اعمال اعتيادية انشائي 44</t>
        </is>
      </c>
      <c r="H218" s="5" t="inlineStr">
        <is>
          <t>اعمال الردم بمواد ردم إنشائية موردة معتمدة ومنتقاة بما في ذلك أعمال الدك اللازمة لتعويض المناسيب حول المبنى حسب المواصفات</t>
        </is>
      </c>
      <c r="I218" s="11" t="inlineStr">
        <is>
          <t>لا</t>
        </is>
      </c>
      <c r="J218" s="11" t="n"/>
      <c r="K218" s="11" t="inlineStr">
        <is>
          <t>لا يوجد مرفقات</t>
        </is>
      </c>
      <c r="L218" s="11" t="inlineStr">
        <is>
          <t>م3</t>
        </is>
      </c>
      <c r="M218" s="11" t="n">
        <v>30</v>
      </c>
      <c r="N218" s="22" t="n">
        <v>60</v>
      </c>
      <c r="O218" s="25">
        <f>N218*M218</f>
        <v/>
      </c>
      <c r="P218" s="23" t="n">
        <v>1800</v>
      </c>
    </row>
    <row r="219">
      <c r="D219" s="5" t="n">
        <v>160</v>
      </c>
      <c r="E219" s="5" t="n">
        <v>160</v>
      </c>
      <c r="F219" s="5" t="inlineStr">
        <is>
          <t>خزان الوقود أعمال خرسانة عادية</t>
        </is>
      </c>
      <c r="G219" s="5" t="inlineStr">
        <is>
          <t>اعمال اعتيادية انشائي 45</t>
        </is>
      </c>
      <c r="H219" s="5" t="inlineStr">
        <is>
          <t>توريد وعمل خرسانة عادية ( C24 ) أسفل القواعد بسماكة 100 مم طبقا للمواصفات على أن يكون الأسمنت مقاوم لأملاح الكبريتات</t>
        </is>
      </c>
      <c r="I219" s="11" t="inlineStr">
        <is>
          <t>نعم</t>
        </is>
      </c>
      <c r="J219" s="11" t="n">
        <v>2004</v>
      </c>
      <c r="K219" s="11" t="inlineStr">
        <is>
          <t>لا يوجد مرفقات</t>
        </is>
      </c>
      <c r="L219" s="11" t="inlineStr">
        <is>
          <t>م2</t>
        </is>
      </c>
      <c r="M219" s="11" t="n">
        <v>20</v>
      </c>
      <c r="N219" s="22" t="n">
        <v>300</v>
      </c>
      <c r="O219" s="25">
        <f>N219*M219</f>
        <v/>
      </c>
      <c r="P219" s="23" t="n">
        <v>6000</v>
      </c>
    </row>
    <row r="220" ht="34.8" customHeight="1">
      <c r="D220" s="5" t="n">
        <v>161</v>
      </c>
      <c r="E220" s="5" t="n">
        <v>161</v>
      </c>
      <c r="F220" s="5" t="inlineStr">
        <is>
          <t>خزان الوقود أعمال خرسانة مسلحة للقواعد</t>
        </is>
      </c>
      <c r="G220" s="5" t="inlineStr">
        <is>
          <t>اعمال اعتيادية انشائي 46</t>
        </is>
      </c>
      <c r="H220"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20" s="11" t="inlineStr">
        <is>
          <t>نعم</t>
        </is>
      </c>
      <c r="J220" s="11" t="n">
        <v>2004</v>
      </c>
      <c r="K220" s="11" t="inlineStr">
        <is>
          <t>لا يوجد مرفقات</t>
        </is>
      </c>
      <c r="L220" s="11" t="inlineStr">
        <is>
          <t>م3</t>
        </is>
      </c>
      <c r="M220" s="11" t="n">
        <v>10</v>
      </c>
      <c r="N220" s="22" t="n">
        <v>1300</v>
      </c>
      <c r="O220" s="25">
        <f>N220*M220</f>
        <v/>
      </c>
      <c r="P220" s="23" t="n">
        <v>13000</v>
      </c>
    </row>
    <row r="221" ht="34.8" customHeight="1">
      <c r="D221" s="5" t="n">
        <v>162</v>
      </c>
      <c r="E221" s="5" t="n">
        <v>162</v>
      </c>
      <c r="F221" s="5" t="inlineStr">
        <is>
          <t>خزان الوقود أعمال خرسانة مسلحة للاعمدة</t>
        </is>
      </c>
      <c r="G221" s="5" t="inlineStr">
        <is>
          <t>اعمال اعتيادية انشائي 47</t>
        </is>
      </c>
      <c r="H221"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21" s="11" t="inlineStr">
        <is>
          <t>نعم</t>
        </is>
      </c>
      <c r="J221" s="11" t="n">
        <v>2004</v>
      </c>
      <c r="K221" s="11" t="inlineStr">
        <is>
          <t>لا يوجد مرفقات</t>
        </is>
      </c>
      <c r="L221" s="11" t="inlineStr">
        <is>
          <t>م3</t>
        </is>
      </c>
      <c r="M221" s="11" t="n">
        <v>15</v>
      </c>
      <c r="N221" s="22" t="n">
        <v>1300</v>
      </c>
      <c r="O221" s="25">
        <f>N221*M221</f>
        <v/>
      </c>
      <c r="P221" s="23" t="n">
        <v>19500</v>
      </c>
    </row>
    <row r="222">
      <c r="D222" s="4" t="inlineStr">
        <is>
          <t>الرقم التسلسلي</t>
        </is>
      </c>
      <c r="E222" s="4" t="inlineStr">
        <is>
          <t>الفئة</t>
        </is>
      </c>
      <c r="F222" s="4" t="inlineStr">
        <is>
          <t>البند</t>
        </is>
      </c>
      <c r="G222" s="4" t="inlineStr">
        <is>
          <t>وصف البند</t>
        </is>
      </c>
      <c r="H222" s="4" t="inlineStr">
        <is>
          <t>المواصفات</t>
        </is>
      </c>
      <c r="I222" s="9" t="inlineStr">
        <is>
          <t>منتج من القائمة الإلزامية</t>
        </is>
      </c>
      <c r="J222" s="9" t="inlineStr">
        <is>
          <t>الرمز الإنشائي</t>
        </is>
      </c>
      <c r="K222" s="9" t="inlineStr">
        <is>
          <t>مرفقات</t>
        </is>
      </c>
      <c r="L222" s="9" t="inlineStr">
        <is>
          <t>وحدة القياس</t>
        </is>
      </c>
      <c r="M222" s="9" t="inlineStr">
        <is>
          <t>الكمية</t>
        </is>
      </c>
      <c r="N222" s="20" t="inlineStr">
        <is>
          <t>سعر الوحدة</t>
        </is>
      </c>
      <c r="O222" s="20" t="inlineStr">
        <is>
          <t>الإجمالي</t>
        </is>
      </c>
      <c r="P222" s="13" t="n"/>
    </row>
    <row r="223">
      <c r="D223" s="21" t="n"/>
      <c r="E223" s="21" t="n"/>
      <c r="F223" s="21" t="n"/>
      <c r="G223" s="21" t="n"/>
      <c r="H223" s="21" t="n"/>
      <c r="I223" s="21" t="n"/>
      <c r="J223" s="21" t="n"/>
      <c r="K223" s="21" t="n"/>
      <c r="L223" s="21" t="n"/>
      <c r="M223" s="21" t="n"/>
      <c r="N223" s="21" t="n"/>
      <c r="O223" s="21" t="n"/>
      <c r="P223" s="13" t="n"/>
    </row>
    <row r="224" ht="34.8" customHeight="1">
      <c r="D224" s="5" t="n">
        <v>163</v>
      </c>
      <c r="E224" s="5" t="n">
        <v>163</v>
      </c>
      <c r="F224" s="5" t="inlineStr">
        <is>
          <t>خزان الوقود أعمال خرسانة مسلحة للكمرات</t>
        </is>
      </c>
      <c r="G224" s="5" t="inlineStr">
        <is>
          <t>اعمال اعتيادية انشائي 48</t>
        </is>
      </c>
      <c r="H224" s="5" t="inlineStr">
        <is>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24" s="11" t="inlineStr">
        <is>
          <t>نعم</t>
        </is>
      </c>
      <c r="J224" s="11" t="n">
        <v>2004</v>
      </c>
      <c r="K224" s="11" t="inlineStr">
        <is>
          <t>لا يوجد مرفقات</t>
        </is>
      </c>
      <c r="L224" s="11" t="inlineStr">
        <is>
          <t>م3</t>
        </is>
      </c>
      <c r="M224" s="11" t="n">
        <v>6</v>
      </c>
      <c r="N224" s="22" t="n">
        <v>1300</v>
      </c>
      <c r="O224" s="25">
        <f>N224*M224</f>
        <v/>
      </c>
      <c r="P224" s="23" t="n">
        <v>7800</v>
      </c>
    </row>
    <row r="225">
      <c r="D225" s="5" t="n">
        <v>164</v>
      </c>
      <c r="E225" s="5" t="n">
        <v>164</v>
      </c>
      <c r="F225" s="5" t="inlineStr">
        <is>
          <t>خزان الوقود تركيب بلاطة</t>
        </is>
      </c>
      <c r="G225" s="5" t="inlineStr">
        <is>
          <t>اعمال اعتيادية انشائي 49</t>
        </is>
      </c>
      <c r="H225" s="5" t="inlineStr">
        <is>
          <t>بلاطة مسبقة الصنع</t>
        </is>
      </c>
      <c r="I225" s="11" t="inlineStr">
        <is>
          <t>نعم</t>
        </is>
      </c>
      <c r="J225" s="11" t="n">
        <v>2041</v>
      </c>
      <c r="K225" s="11" t="inlineStr">
        <is>
          <t>لا يوجد مرفقات</t>
        </is>
      </c>
      <c r="L225" s="11" t="inlineStr">
        <is>
          <t>م2</t>
        </is>
      </c>
      <c r="M225" s="11" t="n">
        <v>15</v>
      </c>
      <c r="N225" s="22" t="n">
        <v>300</v>
      </c>
      <c r="O225" s="25">
        <f>N225*M225</f>
        <v/>
      </c>
      <c r="P225" s="23" t="n">
        <v>4500</v>
      </c>
    </row>
    <row r="226">
      <c r="D226" s="5" t="n">
        <v>165</v>
      </c>
      <c r="E226" s="5" t="n">
        <v>165</v>
      </c>
      <c r="F226" s="5" t="inlineStr">
        <is>
          <t>خزان الوقود تركيب غشاء بولى اثيلين</t>
        </is>
      </c>
      <c r="G226" s="5" t="inlineStr">
        <is>
          <t>اعمال اعتيادية انشائي 50</t>
        </is>
      </c>
      <c r="H226" s="5" t="inlineStr">
        <is>
          <t>غشاء بولي اثيلين عيار 1000(أسفل البلاطه الأرضية والقواعد والميدات والمنحدرات )</t>
        </is>
      </c>
      <c r="I226" s="11" t="inlineStr">
        <is>
          <t>نعم</t>
        </is>
      </c>
      <c r="J226" s="11" t="n">
        <v>2017</v>
      </c>
      <c r="K226" s="11" t="inlineStr">
        <is>
          <t>لا يوجد مرفقات</t>
        </is>
      </c>
      <c r="L226" s="11" t="inlineStr">
        <is>
          <t>م2</t>
        </is>
      </c>
      <c r="M226" s="11" t="n">
        <v>20</v>
      </c>
      <c r="N226" s="22" t="n">
        <v>40</v>
      </c>
      <c r="O226" s="25">
        <f>N226*M226</f>
        <v/>
      </c>
      <c r="P226" s="23" t="n">
        <v>800</v>
      </c>
    </row>
    <row r="227">
      <c r="D227" s="5" t="n">
        <v>166</v>
      </c>
      <c r="E227" s="5" t="n">
        <v>166</v>
      </c>
      <c r="F227" s="5" t="inlineStr">
        <is>
          <t>خزان الوقود تركيب غشاء بيتومبنى</t>
        </is>
      </c>
      <c r="G227" s="5" t="inlineStr">
        <is>
          <t>اعمال اعتيادية انشائي 51</t>
        </is>
      </c>
      <c r="H227" s="5" t="inlineStr">
        <is>
          <t>تحضير السطوح وتنفيذ طبقتي غشاء بيتوميني سماكة كل منهما 4 ملم وطبقة لياسة سماكة 50 ملم للبلاطات الأرضية</t>
        </is>
      </c>
      <c r="I227" s="11" t="inlineStr">
        <is>
          <t>نعم</t>
        </is>
      </c>
      <c r="J227" s="11" t="n">
        <v>2017</v>
      </c>
      <c r="K227" s="11" t="inlineStr">
        <is>
          <t>لا يوجد مرفقات</t>
        </is>
      </c>
      <c r="L227" s="11" t="inlineStr">
        <is>
          <t>م2</t>
        </is>
      </c>
      <c r="M227" s="11" t="n">
        <v>20</v>
      </c>
      <c r="N227" s="22" t="n">
        <v>60</v>
      </c>
      <c r="O227" s="25">
        <f>N227*M227</f>
        <v/>
      </c>
      <c r="P227" s="23" t="n">
        <v>1200</v>
      </c>
    </row>
    <row r="228">
      <c r="D228" s="5" t="n">
        <v>167</v>
      </c>
      <c r="E228" s="5" t="n">
        <v>167</v>
      </c>
      <c r="F228" s="5" t="inlineStr">
        <is>
          <t>خزان الوقود أعمال طلاء بيتومبنى</t>
        </is>
      </c>
      <c r="G228" s="5" t="inlineStr">
        <is>
          <t>اعمال اعتيادية انشائي 52</t>
        </is>
      </c>
      <c r="H228" s="5" t="inlineStr">
        <is>
          <t>تطبيق وجهين من طلاء بيتومين للمسطحات الخرسانية وطلاء تحضيري اولي اساس (للقواعد والميد و رقـاب الأعمدة والحنادق)</t>
        </is>
      </c>
      <c r="I228" s="11" t="inlineStr">
        <is>
          <t>نعم</t>
        </is>
      </c>
      <c r="J228" s="11" t="n">
        <v>2017</v>
      </c>
      <c r="K228" s="11" t="inlineStr">
        <is>
          <t>لا يوجد مرفقات</t>
        </is>
      </c>
      <c r="L228" s="11" t="inlineStr">
        <is>
          <t>م2</t>
        </is>
      </c>
      <c r="M228" s="11" t="n">
        <v>80</v>
      </c>
      <c r="N228" s="22" t="n">
        <v>30</v>
      </c>
      <c r="O228" s="25">
        <f>N228*M228</f>
        <v/>
      </c>
      <c r="P228" s="23" t="n">
        <v>2400</v>
      </c>
    </row>
    <row r="229" ht="34.8" customHeight="1">
      <c r="D229" s="5" t="n">
        <v>168</v>
      </c>
      <c r="E229" s="5" t="n">
        <v>168</v>
      </c>
      <c r="F229" s="5" t="inlineStr">
        <is>
          <t>خزان الصرف الصحي اعمال الحفر</t>
        </is>
      </c>
      <c r="G229" s="5" t="inlineStr">
        <is>
          <t>اعمال اعتيادية انشائي 53</t>
        </is>
      </c>
      <c r="H229"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229" s="11" t="inlineStr">
        <is>
          <t>لا</t>
        </is>
      </c>
      <c r="J229" s="11" t="n"/>
      <c r="K229" s="11" t="inlineStr">
        <is>
          <t>لا يوجد مرفقات</t>
        </is>
      </c>
      <c r="L229" s="11" t="inlineStr">
        <is>
          <t>م3</t>
        </is>
      </c>
      <c r="M229" s="11" t="n">
        <v>280</v>
      </c>
      <c r="N229" s="22" t="n">
        <v>50</v>
      </c>
      <c r="O229" s="25">
        <f>N229*M229</f>
        <v/>
      </c>
      <c r="P229" s="23" t="n">
        <v>14000</v>
      </c>
    </row>
    <row r="230">
      <c r="D230" s="4" t="inlineStr">
        <is>
          <t>لرقم التسلسلي</t>
        </is>
      </c>
      <c r="E230" s="4" t="inlineStr">
        <is>
          <t>الفئة</t>
        </is>
      </c>
      <c r="F230" s="4" t="inlineStr">
        <is>
          <t>البند</t>
        </is>
      </c>
      <c r="G230" s="4" t="inlineStr">
        <is>
          <t>وصف البند</t>
        </is>
      </c>
      <c r="H230" s="4" t="inlineStr">
        <is>
          <t>المواصفات</t>
        </is>
      </c>
      <c r="I230" s="9" t="inlineStr">
        <is>
          <t>منتج من القائمة الإلزامية</t>
        </is>
      </c>
      <c r="J230" s="9" t="inlineStr">
        <is>
          <t>الرمز الإنشائي</t>
        </is>
      </c>
      <c r="K230" s="9" t="inlineStr">
        <is>
          <t>مرفقات</t>
        </is>
      </c>
      <c r="L230" s="9" t="inlineStr">
        <is>
          <t>وحدة القياس</t>
        </is>
      </c>
      <c r="M230" s="9" t="inlineStr">
        <is>
          <t>الكمية</t>
        </is>
      </c>
      <c r="N230" s="20" t="inlineStr">
        <is>
          <t>سعر الوحدة</t>
        </is>
      </c>
      <c r="O230" s="20" t="inlineStr">
        <is>
          <t>الإجمالي</t>
        </is>
      </c>
      <c r="P230" s="13" t="n"/>
    </row>
    <row r="231">
      <c r="D231" s="21" t="n"/>
      <c r="E231" s="21" t="n"/>
      <c r="F231" s="21" t="n"/>
      <c r="G231" s="21" t="n"/>
      <c r="H231" s="21" t="n"/>
      <c r="I231" s="21" t="n"/>
      <c r="J231" s="21" t="n"/>
      <c r="K231" s="21" t="n"/>
      <c r="L231" s="21" t="n"/>
      <c r="M231" s="21" t="n"/>
      <c r="N231" s="21" t="n"/>
      <c r="O231" s="21" t="n"/>
      <c r="P231" s="13" t="n"/>
    </row>
    <row r="232">
      <c r="D232" s="5" t="n">
        <v>169</v>
      </c>
      <c r="E232" s="5" t="n">
        <v>169</v>
      </c>
      <c r="F232" s="5" t="inlineStr">
        <is>
          <t>خزان الصرف الصحي اعمال الردم</t>
        </is>
      </c>
      <c r="G232" s="5" t="inlineStr">
        <is>
          <t>اعمال اعتيادية انشائي 54</t>
        </is>
      </c>
      <c r="H232" s="5" t="inlineStr">
        <is>
          <t>اعمال الردم بمواد ردم إنشائية موردة معتمدة ومنتقاة بما في ذلك أعمال الدك اللازمة لتعويض المناسيب حول المبنى حسب المواصفات</t>
        </is>
      </c>
      <c r="I232" s="11" t="inlineStr">
        <is>
          <t>لا</t>
        </is>
      </c>
      <c r="J232" s="11" t="n"/>
      <c r="K232" s="11" t="inlineStr">
        <is>
          <t>لا يوجد مرفقات</t>
        </is>
      </c>
      <c r="L232" s="11" t="inlineStr">
        <is>
          <t>م3</t>
        </is>
      </c>
      <c r="M232" s="11" t="n">
        <v>67</v>
      </c>
      <c r="N232" s="22" t="n">
        <v>60</v>
      </c>
      <c r="O232" s="25">
        <f>N232*M232</f>
        <v/>
      </c>
      <c r="P232" s="23" t="n">
        <v>4020</v>
      </c>
    </row>
    <row r="233">
      <c r="D233" s="5" t="n">
        <v>170</v>
      </c>
      <c r="E233" s="5" t="n">
        <v>170</v>
      </c>
      <c r="F233" s="5" t="inlineStr">
        <is>
          <t>خزان الصرف الصحي أعمال خرسانة عادية</t>
        </is>
      </c>
      <c r="G233" s="5" t="inlineStr">
        <is>
          <t>اعمال اعتيادية انشائي 55</t>
        </is>
      </c>
      <c r="H233" s="5" t="inlineStr">
        <is>
          <t>توريد وعمل خرسانة عادية ( C24 ) أسفل القواعد بسماكة 100 مم طبقا للمواصفات على أن يكون الأسمنت مقاوم لأملاح الكبريتات</t>
        </is>
      </c>
      <c r="I233" s="11" t="inlineStr">
        <is>
          <t>نعم</t>
        </is>
      </c>
      <c r="J233" s="11" t="n">
        <v>2004</v>
      </c>
      <c r="K233" s="11" t="inlineStr">
        <is>
          <t>لا يوجد مرفقات</t>
        </is>
      </c>
      <c r="L233" s="11" t="inlineStr">
        <is>
          <t>م2</t>
        </is>
      </c>
      <c r="M233" s="11" t="n">
        <v>43</v>
      </c>
      <c r="N233" s="22" t="n">
        <v>1300</v>
      </c>
      <c r="O233" s="25">
        <f>N233*M233</f>
        <v/>
      </c>
      <c r="P233" s="23" t="n">
        <v>55900</v>
      </c>
    </row>
    <row r="234" ht="34.8" customHeight="1">
      <c r="D234" s="5" t="n">
        <v>171</v>
      </c>
      <c r="E234" s="5" t="n">
        <v>171</v>
      </c>
      <c r="F234" s="5" t="inlineStr">
        <is>
          <t>خزان الصرف الصحي أعمال خرسانة مسلحة للقواعد</t>
        </is>
      </c>
      <c r="G234" s="5" t="inlineStr">
        <is>
          <t>اعمال اعتيادية انشائي 56</t>
        </is>
      </c>
      <c r="H234"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34" s="11" t="inlineStr">
        <is>
          <t>نعم</t>
        </is>
      </c>
      <c r="J234" s="11" t="n">
        <v>2004</v>
      </c>
      <c r="K234" s="11" t="inlineStr">
        <is>
          <t>لا يوجد مرفقات</t>
        </is>
      </c>
      <c r="L234" s="11" t="inlineStr">
        <is>
          <t>م3</t>
        </is>
      </c>
      <c r="M234" s="11" t="n">
        <v>22</v>
      </c>
      <c r="N234" s="22" t="n">
        <v>1300</v>
      </c>
      <c r="O234" s="25">
        <f>N234*M234</f>
        <v/>
      </c>
      <c r="P234" s="23" t="n">
        <v>28600</v>
      </c>
    </row>
    <row r="235" ht="34.8" customHeight="1">
      <c r="D235" s="5" t="n">
        <v>172</v>
      </c>
      <c r="E235" s="5" t="n">
        <v>172</v>
      </c>
      <c r="F235" s="5" t="inlineStr">
        <is>
          <t>خزان الصرف الصحي أعمال خرسانة مسلحة للاعمدة</t>
        </is>
      </c>
      <c r="G235" s="5" t="inlineStr">
        <is>
          <t>اعمال اعتيادية انشائي 57</t>
        </is>
      </c>
      <c r="H235"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35" s="11" t="inlineStr">
        <is>
          <t>نعم</t>
        </is>
      </c>
      <c r="J235" s="11" t="n">
        <v>2004</v>
      </c>
      <c r="K235" s="11" t="inlineStr">
        <is>
          <t>لا يوجد مرفقات</t>
        </is>
      </c>
      <c r="L235" s="11" t="inlineStr">
        <is>
          <t>م3</t>
        </is>
      </c>
      <c r="M235" s="11" t="n">
        <v>106</v>
      </c>
      <c r="N235" s="22" t="n">
        <v>1300</v>
      </c>
      <c r="O235" s="25">
        <f>N235*M235</f>
        <v/>
      </c>
      <c r="P235" s="23" t="n">
        <v>137800</v>
      </c>
    </row>
    <row r="236" ht="34.8" customHeight="1">
      <c r="D236" s="5" t="n">
        <v>173</v>
      </c>
      <c r="E236" s="5" t="n">
        <v>173</v>
      </c>
      <c r="F236" s="5" t="inlineStr">
        <is>
          <t>خزان الصرف الصحي أعمال خرسانة مسلحة للبلاطات المصمته</t>
        </is>
      </c>
      <c r="G236" s="5" t="inlineStr">
        <is>
          <t>اعمال اعتيادية انشائي 58</t>
        </is>
      </c>
      <c r="H236" s="5" t="inlineStr">
        <is>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236" s="11" t="inlineStr">
        <is>
          <t>نعم</t>
        </is>
      </c>
      <c r="J236" s="11" t="n">
        <v>2004</v>
      </c>
      <c r="K236" s="11" t="inlineStr">
        <is>
          <t>لا يوجد مرفقات</t>
        </is>
      </c>
      <c r="L236" s="11" t="inlineStr">
        <is>
          <t>م3</t>
        </is>
      </c>
      <c r="M236" s="11" t="n">
        <v>11</v>
      </c>
      <c r="N236" s="22" t="n">
        <v>1300</v>
      </c>
      <c r="O236" s="25">
        <f>N236*M236</f>
        <v/>
      </c>
      <c r="P236" s="23" t="n">
        <v>14300</v>
      </c>
    </row>
    <row r="237">
      <c r="D237" s="5" t="n">
        <v>174</v>
      </c>
      <c r="E237" s="5" t="n">
        <v>174</v>
      </c>
      <c r="F237" s="5" t="inlineStr">
        <is>
          <t>خزان الصرف تركيب غشاء بولى اثيلين</t>
        </is>
      </c>
      <c r="G237" s="5" t="inlineStr">
        <is>
          <t>اعمال اعتيادية انشائي 59</t>
        </is>
      </c>
      <c r="H237" s="5" t="inlineStr">
        <is>
          <t>غشاء بولي اثيلين عيار 1000(أسفل البلاطه الأرضية والقواعد والميدات والمنحدرات )</t>
        </is>
      </c>
      <c r="I237" s="11" t="inlineStr">
        <is>
          <t>نعم</t>
        </is>
      </c>
      <c r="J237" s="11" t="n">
        <v>2017</v>
      </c>
      <c r="K237" s="11" t="inlineStr">
        <is>
          <t>لا يوجد مرفقات</t>
        </is>
      </c>
      <c r="L237" s="11" t="inlineStr">
        <is>
          <t>م2</t>
        </is>
      </c>
      <c r="M237" s="11" t="n">
        <v>43</v>
      </c>
      <c r="N237" s="22" t="n">
        <v>40</v>
      </c>
      <c r="O237" s="25">
        <f>N237*M237</f>
        <v/>
      </c>
      <c r="P237" s="23" t="n">
        <v>1720</v>
      </c>
    </row>
    <row r="238">
      <c r="D238" s="4" t="inlineStr">
        <is>
          <t>لرقم التسلسلي</t>
        </is>
      </c>
      <c r="E238" s="4" t="inlineStr">
        <is>
          <t>الفئة</t>
        </is>
      </c>
      <c r="F238" s="4" t="inlineStr">
        <is>
          <t>البند</t>
        </is>
      </c>
      <c r="G238" s="4" t="inlineStr">
        <is>
          <t>وصف البند</t>
        </is>
      </c>
      <c r="H238" s="4" t="inlineStr">
        <is>
          <t>المواصفات</t>
        </is>
      </c>
      <c r="I238" s="9" t="inlineStr">
        <is>
          <t>منتج من القائمة الإلزامية</t>
        </is>
      </c>
      <c r="J238" s="9" t="inlineStr">
        <is>
          <t>الرمز الإنشائي</t>
        </is>
      </c>
      <c r="K238" s="9" t="inlineStr">
        <is>
          <t>مرفقات</t>
        </is>
      </c>
      <c r="L238" s="9" t="inlineStr">
        <is>
          <t>وحدة القياس</t>
        </is>
      </c>
      <c r="M238" s="9" t="inlineStr">
        <is>
          <t>الكمية</t>
        </is>
      </c>
      <c r="N238" s="20" t="inlineStr">
        <is>
          <t>سعر الوحدة</t>
        </is>
      </c>
      <c r="O238" s="20" t="inlineStr">
        <is>
          <t>الإجمالي</t>
        </is>
      </c>
      <c r="P238" s="13" t="n"/>
    </row>
    <row r="239">
      <c r="D239" s="21" t="n"/>
      <c r="E239" s="21" t="n"/>
      <c r="F239" s="21" t="n"/>
      <c r="G239" s="21" t="n"/>
      <c r="H239" s="21" t="n"/>
      <c r="I239" s="21" t="n"/>
      <c r="J239" s="21" t="n"/>
      <c r="K239" s="21" t="n"/>
      <c r="L239" s="21" t="n"/>
      <c r="M239" s="21" t="n"/>
      <c r="N239" s="21" t="n"/>
      <c r="O239" s="21" t="n"/>
      <c r="P239" s="13" t="n"/>
    </row>
    <row r="240">
      <c r="D240" s="5" t="n">
        <v>175</v>
      </c>
      <c r="E240" s="5" t="n">
        <v>175</v>
      </c>
      <c r="F240" s="5" t="inlineStr">
        <is>
          <t>خزان الصرف تركيب غشاء بيتومينى</t>
        </is>
      </c>
      <c r="G240" s="5" t="inlineStr">
        <is>
          <t>اعمال اعتيادية انشائي 60</t>
        </is>
      </c>
      <c r="H240" s="5" t="inlineStr">
        <is>
          <t>تحضير السطوح وتنفيذ طبقتي غشاء بيتوميني سماكة كل منهما 4 ملم وطبقة لياسة سماكة 50 ملم للبلاطات الأرضية</t>
        </is>
      </c>
      <c r="I240" s="11" t="inlineStr">
        <is>
          <t>نعم</t>
        </is>
      </c>
      <c r="J240" s="11" t="n">
        <v>2017</v>
      </c>
      <c r="K240" s="11" t="inlineStr">
        <is>
          <t>لا يوجد مرفقات</t>
        </is>
      </c>
      <c r="L240" s="11" t="inlineStr">
        <is>
          <t>م2</t>
        </is>
      </c>
      <c r="M240" s="11" t="n">
        <v>43</v>
      </c>
      <c r="N240" s="22" t="n">
        <v>60</v>
      </c>
      <c r="O240" s="25">
        <f>N240*M240</f>
        <v/>
      </c>
      <c r="P240" s="23" t="n">
        <v>2580</v>
      </c>
    </row>
    <row r="241">
      <c r="D241" s="5" t="n">
        <v>176</v>
      </c>
      <c r="E241" s="5" t="n">
        <v>176</v>
      </c>
      <c r="F241" s="5" t="inlineStr">
        <is>
          <t>خزان الصرف أعمال طلاء بيتومينى</t>
        </is>
      </c>
      <c r="G241" s="5" t="inlineStr">
        <is>
          <t>اعمال اعتيادية انشائي 61</t>
        </is>
      </c>
      <c r="H241" s="5" t="inlineStr">
        <is>
          <t>تطبيق وجهين من طلاء بيتومين للمسطحات الخرسانية وطلاء تحضيري اولي اساس (للقواعد والميد و رقـاب الأعمدة والحنادق)</t>
        </is>
      </c>
      <c r="I241" s="11" t="inlineStr">
        <is>
          <t>نعم</t>
        </is>
      </c>
      <c r="J241" s="11" t="n">
        <v>2017</v>
      </c>
      <c r="K241" s="11" t="inlineStr">
        <is>
          <t>لا يوجد مرفقات</t>
        </is>
      </c>
      <c r="L241" s="11" t="inlineStr">
        <is>
          <t>م2</t>
        </is>
      </c>
      <c r="M241" s="11" t="n">
        <v>160</v>
      </c>
      <c r="N241" s="22" t="n">
        <v>25</v>
      </c>
      <c r="O241" s="25">
        <f>N241*M241</f>
        <v/>
      </c>
      <c r="P241" s="23" t="n">
        <v>4000</v>
      </c>
    </row>
    <row r="242" ht="34.8" customHeight="1">
      <c r="D242" s="5" t="n">
        <v>177</v>
      </c>
      <c r="E242" s="5" t="n">
        <v>177</v>
      </c>
      <c r="F242" s="5" t="inlineStr">
        <is>
          <t>خزان مياه اعمال الحفر</t>
        </is>
      </c>
      <c r="G242" s="5" t="inlineStr">
        <is>
          <t>اعمال اعتيادية انشائي 62</t>
        </is>
      </c>
      <c r="H242" s="5" t="inlineStr">
        <is>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is>
      </c>
      <c r="I242" s="11" t="inlineStr">
        <is>
          <t>لا</t>
        </is>
      </c>
      <c r="J242" s="11" t="n"/>
      <c r="K242" s="11" t="inlineStr">
        <is>
          <t>لا يوجد مرفقات</t>
        </is>
      </c>
      <c r="L242" s="11" t="inlineStr">
        <is>
          <t>م3</t>
        </is>
      </c>
      <c r="M242" s="11" t="n">
        <v>1450</v>
      </c>
      <c r="N242" s="22" t="n">
        <v>50</v>
      </c>
      <c r="O242" s="25">
        <f>N242*M242</f>
        <v/>
      </c>
      <c r="P242" s="23" t="n">
        <v>72500</v>
      </c>
    </row>
    <row r="243">
      <c r="D243" s="5" t="n">
        <v>178</v>
      </c>
      <c r="E243" s="5" t="n">
        <v>178</v>
      </c>
      <c r="F243" s="5" t="inlineStr">
        <is>
          <t>خزان مياه اعمال الردم</t>
        </is>
      </c>
      <c r="G243" s="5" t="inlineStr">
        <is>
          <t>اعمال اعتيادية انشائي 63</t>
        </is>
      </c>
      <c r="H243" s="5" t="inlineStr">
        <is>
          <t>اعمال الردم بمواد ردم إنشائية موردة معتمدة ومنتقاة بما في ذلك أعمال الدك اللازمة لتعويض المناسيب حول المبنى حسب المواصفات</t>
        </is>
      </c>
      <c r="I243" s="11" t="inlineStr">
        <is>
          <t>لا</t>
        </is>
      </c>
      <c r="J243" s="11" t="n"/>
      <c r="K243" s="11" t="inlineStr">
        <is>
          <t>لا يوجد مرفقات</t>
        </is>
      </c>
      <c r="L243" s="11" t="inlineStr">
        <is>
          <t>م3</t>
        </is>
      </c>
      <c r="M243" s="11" t="n">
        <v>400</v>
      </c>
      <c r="N243" s="22" t="n">
        <v>60</v>
      </c>
      <c r="O243" s="25">
        <f>N243*M243</f>
        <v/>
      </c>
      <c r="P243" s="23" t="n">
        <v>24000</v>
      </c>
    </row>
    <row r="244">
      <c r="D244" s="5" t="n">
        <v>179</v>
      </c>
      <c r="E244" s="5" t="n">
        <v>179</v>
      </c>
      <c r="F244" s="5" t="inlineStr">
        <is>
          <t>خزان مياه أعمال خرسانة عادية</t>
        </is>
      </c>
      <c r="G244" s="5" t="inlineStr">
        <is>
          <t>اعمال اعتيادية انشائي 64</t>
        </is>
      </c>
      <c r="H244" s="5" t="inlineStr">
        <is>
          <t>توريد وعمل خرسانة عادية ( C24 ) أسفل القواعد بسماكة 100 مم طبقا للمواصفات على أن يكون الأسمنت مقاوم لأملاح الكبريتات</t>
        </is>
      </c>
      <c r="I244" s="11" t="inlineStr">
        <is>
          <t>نعم</t>
        </is>
      </c>
      <c r="J244" s="11" t="n">
        <v>2004</v>
      </c>
      <c r="K244" s="11" t="inlineStr">
        <is>
          <t>لا يوجد مرفقات</t>
        </is>
      </c>
      <c r="L244" s="11" t="inlineStr">
        <is>
          <t>م2</t>
        </is>
      </c>
      <c r="M244" s="11" t="n">
        <v>210</v>
      </c>
      <c r="N244" s="22" t="n">
        <v>300</v>
      </c>
      <c r="O244" s="25">
        <f>N244*M244</f>
        <v/>
      </c>
      <c r="P244" s="23" t="n">
        <v>63000</v>
      </c>
    </row>
    <row r="245" ht="34.8" customHeight="1">
      <c r="D245" s="5" t="n">
        <v>180</v>
      </c>
      <c r="E245" s="5" t="n">
        <v>180</v>
      </c>
      <c r="F245" s="5" t="inlineStr">
        <is>
          <t>خزان مياه أعمال خرسانة مسلحة للقواعد</t>
        </is>
      </c>
      <c r="G245" s="5" t="inlineStr">
        <is>
          <t>اعمال اعتيادية انشائي 65</t>
        </is>
      </c>
      <c r="H245" s="5" t="inlineStr">
        <is>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is>
      </c>
      <c r="I245" s="11" t="inlineStr">
        <is>
          <t>نعم</t>
        </is>
      </c>
      <c r="J245" s="11" t="n">
        <v>2004</v>
      </c>
      <c r="K245" s="11" t="inlineStr">
        <is>
          <t>لا يوجد مرفقات</t>
        </is>
      </c>
      <c r="L245" s="11" t="inlineStr">
        <is>
          <t>م3</t>
        </is>
      </c>
      <c r="M245" s="11" t="n">
        <v>126</v>
      </c>
      <c r="N245" s="22" t="n">
        <v>1300</v>
      </c>
      <c r="O245" s="25">
        <f>N245*M245</f>
        <v/>
      </c>
      <c r="P245" s="23" t="n">
        <v>163800</v>
      </c>
    </row>
    <row r="246">
      <c r="D246" s="4" t="inlineStr">
        <is>
          <t>لرقم التسلسلي</t>
        </is>
      </c>
      <c r="E246" s="4" t="inlineStr">
        <is>
          <t>الفئة</t>
        </is>
      </c>
      <c r="F246" s="4" t="inlineStr">
        <is>
          <t>البند</t>
        </is>
      </c>
      <c r="G246" s="4" t="inlineStr">
        <is>
          <t>وصف البند</t>
        </is>
      </c>
      <c r="H246" s="4" t="inlineStr">
        <is>
          <t>المواصفات</t>
        </is>
      </c>
      <c r="I246" s="9" t="inlineStr">
        <is>
          <t>منتج من القائمة الإلزامية</t>
        </is>
      </c>
      <c r="J246" s="9" t="inlineStr">
        <is>
          <t>الرمز الإنشائي</t>
        </is>
      </c>
      <c r="K246" s="9" t="inlineStr">
        <is>
          <t>مرفقات</t>
        </is>
      </c>
      <c r="L246" s="9" t="inlineStr">
        <is>
          <t>وحدة القياس</t>
        </is>
      </c>
      <c r="M246" s="9" t="inlineStr">
        <is>
          <t>الكمية</t>
        </is>
      </c>
      <c r="N246" s="20" t="inlineStr">
        <is>
          <t>سعر الوحدة</t>
        </is>
      </c>
      <c r="O246" s="20" t="inlineStr">
        <is>
          <t>الإجمالي</t>
        </is>
      </c>
      <c r="P246" s="13" t="n"/>
    </row>
    <row r="247">
      <c r="D247" s="21" t="n"/>
      <c r="E247" s="21" t="n"/>
      <c r="F247" s="21" t="n"/>
      <c r="G247" s="21" t="n"/>
      <c r="H247" s="21" t="n"/>
      <c r="I247" s="21" t="n"/>
      <c r="J247" s="21" t="n"/>
      <c r="K247" s="21" t="n"/>
      <c r="L247" s="21" t="n"/>
      <c r="M247" s="21" t="n"/>
      <c r="N247" s="21" t="n"/>
      <c r="O247" s="21" t="n"/>
      <c r="P247" s="13" t="n"/>
    </row>
    <row r="248" ht="34.8" customHeight="1">
      <c r="D248" s="5" t="n">
        <v>181</v>
      </c>
      <c r="E248" s="5" t="n">
        <v>181</v>
      </c>
      <c r="F248" s="5" t="inlineStr">
        <is>
          <t>خزان مياه أعمال خرسانة مسلحة للاعمدة</t>
        </is>
      </c>
      <c r="G248" s="5" t="inlineStr">
        <is>
          <t>اعمال اعتيادية انشائي 66</t>
        </is>
      </c>
      <c r="H248" s="5" t="inlineStr">
        <is>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48" s="11" t="inlineStr">
        <is>
          <t>نعم</t>
        </is>
      </c>
      <c r="J248" s="11" t="n">
        <v>2004</v>
      </c>
      <c r="K248" s="11" t="inlineStr">
        <is>
          <t>لا يوجد مرفقات</t>
        </is>
      </c>
      <c r="L248" s="11" t="inlineStr">
        <is>
          <t>م3</t>
        </is>
      </c>
      <c r="M248" s="11" t="n">
        <v>270</v>
      </c>
      <c r="N248" s="22" t="n">
        <v>1300</v>
      </c>
      <c r="O248" s="25">
        <f>N248*M248</f>
        <v/>
      </c>
      <c r="P248" s="23" t="n">
        <v>351000</v>
      </c>
    </row>
    <row r="249" ht="34.8" customHeight="1">
      <c r="D249" s="5" t="n">
        <v>182</v>
      </c>
      <c r="E249" s="5" t="n">
        <v>182</v>
      </c>
      <c r="F249" s="5" t="inlineStr">
        <is>
          <t>خزان مياه أعمال خرسانة مسلحة للكمرات</t>
        </is>
      </c>
      <c r="G249" s="5" t="inlineStr">
        <is>
          <t>اعمال اعتيادية انشائي 67</t>
        </is>
      </c>
      <c r="H249" s="5" t="inlineStr">
        <is>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is>
      </c>
      <c r="I249" s="11" t="inlineStr">
        <is>
          <t>نعم</t>
        </is>
      </c>
      <c r="J249" s="11" t="n">
        <v>2004</v>
      </c>
      <c r="K249" s="11" t="inlineStr">
        <is>
          <t>لا يوجد مرفقات</t>
        </is>
      </c>
      <c r="L249" s="11" t="inlineStr">
        <is>
          <t>م3</t>
        </is>
      </c>
      <c r="M249" s="11" t="n">
        <v>9</v>
      </c>
      <c r="N249" s="22" t="n">
        <v>1300</v>
      </c>
      <c r="O249" s="25">
        <f>N249*M249</f>
        <v/>
      </c>
      <c r="P249" s="23" t="n">
        <v>11700</v>
      </c>
    </row>
    <row r="250" ht="34.8" customHeight="1">
      <c r="D250" s="5" t="n">
        <v>183</v>
      </c>
      <c r="E250" s="5" t="n">
        <v>183</v>
      </c>
      <c r="F250" s="5" t="inlineStr">
        <is>
          <t>خزان مياه أعمال خرسانة مسلحة للبلاطات المصمتة</t>
        </is>
      </c>
      <c r="G250" s="5" t="inlineStr">
        <is>
          <t>اعمال اعتيادية انشائي 68</t>
        </is>
      </c>
      <c r="H250" s="5" t="inlineStr">
        <is>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is>
      </c>
      <c r="I250" s="11" t="inlineStr">
        <is>
          <t>نعم</t>
        </is>
      </c>
      <c r="J250" s="11" t="n">
        <v>2004</v>
      </c>
      <c r="K250" s="11" t="inlineStr">
        <is>
          <t>لا يوجد مرفقات</t>
        </is>
      </c>
      <c r="L250" s="11" t="inlineStr">
        <is>
          <t>م3</t>
        </is>
      </c>
      <c r="M250" s="11" t="n">
        <v>55</v>
      </c>
      <c r="N250" s="22" t="n">
        <v>1300</v>
      </c>
      <c r="O250" s="25">
        <f>N250*M250</f>
        <v/>
      </c>
      <c r="P250" s="23" t="n">
        <v>71500</v>
      </c>
    </row>
    <row r="251">
      <c r="D251" s="5" t="n">
        <v>184</v>
      </c>
      <c r="E251" s="5" t="n">
        <v>184</v>
      </c>
      <c r="F251" s="5" t="inlineStr">
        <is>
          <t>خزان مياه تركيب غشاء بولي اثيلين</t>
        </is>
      </c>
      <c r="G251" s="5" t="inlineStr">
        <is>
          <t>اعمال اعتيادية انشائي 69</t>
        </is>
      </c>
      <c r="H251" s="5" t="inlineStr">
        <is>
          <t>غشاء بولي اثيلين عيار 1000(أسفل البلاطه الأرضية والقواعد والميدات والمنحدرات )</t>
        </is>
      </c>
      <c r="I251" s="11" t="inlineStr">
        <is>
          <t>نعم</t>
        </is>
      </c>
      <c r="J251" s="11" t="n">
        <v>2017</v>
      </c>
      <c r="K251" s="11" t="inlineStr">
        <is>
          <t>لا يوجد مرفقات</t>
        </is>
      </c>
      <c r="L251" s="11" t="inlineStr">
        <is>
          <t>م2</t>
        </is>
      </c>
      <c r="M251" s="11" t="n">
        <v>210</v>
      </c>
      <c r="N251" s="22" t="n">
        <v>40</v>
      </c>
      <c r="O251" s="25">
        <f>N251*M251</f>
        <v/>
      </c>
      <c r="P251" s="23" t="n">
        <v>8400</v>
      </c>
    </row>
    <row r="252">
      <c r="D252" s="5" t="n">
        <v>185</v>
      </c>
      <c r="E252" s="5" t="n">
        <v>185</v>
      </c>
      <c r="F252" s="5" t="inlineStr">
        <is>
          <t>خزان مياه تركيب غشاء بيتومينى</t>
        </is>
      </c>
      <c r="G252" s="5" t="inlineStr">
        <is>
          <t>اعمال اعتيادية انشائي 70</t>
        </is>
      </c>
      <c r="H252" s="5" t="inlineStr">
        <is>
          <t>تحضير السطوح وتنفيذ طبقتي غشاء بيتوميني سماكة كل منهما 4 ملم وطبقة لياسة سماكة 50 ملم للبلاطات الأرضية</t>
        </is>
      </c>
      <c r="I252" s="11" t="inlineStr">
        <is>
          <t>نعم</t>
        </is>
      </c>
      <c r="J252" s="11" t="n">
        <v>2017</v>
      </c>
      <c r="K252" s="11" t="inlineStr">
        <is>
          <t>لا يوجد مرفقات</t>
        </is>
      </c>
      <c r="L252" s="11" t="inlineStr">
        <is>
          <t>م2</t>
        </is>
      </c>
      <c r="M252" s="11" t="n">
        <v>210</v>
      </c>
      <c r="N252" s="22" t="n">
        <v>60</v>
      </c>
      <c r="O252" s="25">
        <f>N252*M252</f>
        <v/>
      </c>
      <c r="P252" s="23" t="n">
        <v>12600</v>
      </c>
    </row>
    <row r="253">
      <c r="D253" s="5" t="n">
        <v>186</v>
      </c>
      <c r="E253" s="5" t="n">
        <v>186</v>
      </c>
      <c r="F253" s="5" t="inlineStr">
        <is>
          <t>خزان مياه أعمال طلاء بيتومينى</t>
        </is>
      </c>
      <c r="G253" s="5" t="inlineStr">
        <is>
          <t>اعمال اعتيادية انشائي 71</t>
        </is>
      </c>
      <c r="H253" s="5" t="inlineStr">
        <is>
          <t>تطبيق وجهين من طلاء بيتومين للمسطحات الخرسانية وطلاء تحضيري اولي اساس (للقواعد والميد و رقـاب الأعمدة والحنادق)</t>
        </is>
      </c>
      <c r="I253" s="11" t="inlineStr">
        <is>
          <t>نعم</t>
        </is>
      </c>
      <c r="J253" s="11" t="n">
        <v>2017</v>
      </c>
      <c r="K253" s="11" t="inlineStr">
        <is>
          <t>لا يوجد مرفقات</t>
        </is>
      </c>
      <c r="L253" s="11" t="inlineStr">
        <is>
          <t>م2</t>
        </is>
      </c>
      <c r="M253" s="11" t="n">
        <v>510</v>
      </c>
      <c r="N253" s="22" t="n">
        <v>30</v>
      </c>
      <c r="O253" s="25">
        <f>N253*M253</f>
        <v/>
      </c>
      <c r="P253" s="23" t="n">
        <v>15300</v>
      </c>
    </row>
    <row r="254">
      <c r="D254" s="4" t="inlineStr">
        <is>
          <t>رقم التسلسلي</t>
        </is>
      </c>
      <c r="E254" s="4" t="inlineStr">
        <is>
          <t>الفئة</t>
        </is>
      </c>
      <c r="F254" s="4" t="inlineStr">
        <is>
          <t>البند</t>
        </is>
      </c>
      <c r="G254" s="4" t="inlineStr">
        <is>
          <t>وصف البند</t>
        </is>
      </c>
      <c r="H254" s="4" t="inlineStr">
        <is>
          <t>المواصفات</t>
        </is>
      </c>
      <c r="I254" s="9" t="inlineStr">
        <is>
          <t>منتج من القائمة الإلزامية</t>
        </is>
      </c>
      <c r="J254" s="9" t="inlineStr">
        <is>
          <t>الرمز الإنشائي</t>
        </is>
      </c>
      <c r="K254" s="9" t="inlineStr">
        <is>
          <t>مرفقات</t>
        </is>
      </c>
      <c r="L254" s="9" t="inlineStr">
        <is>
          <t>وحدة القياس</t>
        </is>
      </c>
      <c r="M254" s="9" t="inlineStr">
        <is>
          <t>الكمية</t>
        </is>
      </c>
      <c r="N254" s="20" t="inlineStr">
        <is>
          <t>سعر الوحدة</t>
        </is>
      </c>
      <c r="O254" s="20" t="inlineStr">
        <is>
          <t>الإجمالي</t>
        </is>
      </c>
      <c r="P254" s="13" t="n"/>
    </row>
    <row r="255">
      <c r="D255" s="21" t="n"/>
      <c r="E255" s="21" t="n"/>
      <c r="F255" s="21" t="n"/>
      <c r="G255" s="21" t="n"/>
      <c r="H255" s="21" t="n"/>
      <c r="I255" s="21" t="n"/>
      <c r="J255" s="21" t="n"/>
      <c r="K255" s="21" t="n"/>
      <c r="L255" s="21" t="n"/>
      <c r="M255" s="21" t="n"/>
      <c r="N255" s="21" t="n"/>
      <c r="O255" s="21" t="n"/>
      <c r="P255" s="13" t="n"/>
    </row>
    <row r="256">
      <c r="D256" s="5" t="n">
        <v>187</v>
      </c>
      <c r="E256" s="5" t="n">
        <v>187</v>
      </c>
      <c r="F256" s="5" t="inlineStr">
        <is>
          <t>مبنى العيادة اعمال الحفر</t>
        </is>
      </c>
      <c r="G256" s="5" t="inlineStr">
        <is>
          <t>اعمال اعتيادية انشائي 72</t>
        </is>
      </c>
      <c r="H256" s="5" t="inlineStr">
        <is>
          <t>حفر الاساسات من منسوب الأرض الطبيعية</t>
        </is>
      </c>
      <c r="I256" s="11" t="inlineStr">
        <is>
          <t>لا</t>
        </is>
      </c>
      <c r="J256" s="11" t="n"/>
      <c r="K256" s="11" t="inlineStr">
        <is>
          <t>لا يوجد مرفقات</t>
        </is>
      </c>
      <c r="L256" s="11" t="inlineStr">
        <is>
          <t>م3</t>
        </is>
      </c>
      <c r="M256" s="11" t="n">
        <v>40</v>
      </c>
      <c r="N256" s="22" t="n">
        <v>50</v>
      </c>
      <c r="O256" s="25">
        <f>N256*M256</f>
        <v/>
      </c>
      <c r="P256" s="23" t="n">
        <v>2000</v>
      </c>
    </row>
    <row r="257">
      <c r="D257" s="5" t="n">
        <v>188</v>
      </c>
      <c r="E257" s="5" t="n">
        <v>188</v>
      </c>
      <c r="F257" s="5" t="inlineStr">
        <is>
          <t>مبنى العيادة اعمال الردم</t>
        </is>
      </c>
      <c r="G257" s="5" t="inlineStr">
        <is>
          <t>اعمال اعتيادية انشائي 73</t>
        </is>
      </c>
      <c r="H257" s="5" t="inlineStr">
        <is>
          <t>ردميات مختارة توضع حول الجدران والاساسات تدمك وتدك جيدا حسب المواصفات وطبقا لما هو مبين على المخططات</t>
        </is>
      </c>
      <c r="I257" s="11" t="inlineStr">
        <is>
          <t>لا</t>
        </is>
      </c>
      <c r="J257" s="11" t="n"/>
      <c r="K257" s="11" t="inlineStr">
        <is>
          <t>لا يوجد مرفقات</t>
        </is>
      </c>
      <c r="L257" s="11" t="inlineStr">
        <is>
          <t>م3</t>
        </is>
      </c>
      <c r="M257" s="11" t="n">
        <v>30</v>
      </c>
      <c r="N257" s="22" t="n">
        <v>60</v>
      </c>
      <c r="O257" s="25">
        <f>N257*M257</f>
        <v/>
      </c>
      <c r="P257" s="23" t="n">
        <v>1800</v>
      </c>
    </row>
    <row r="258">
      <c r="D258" s="5" t="n">
        <v>189</v>
      </c>
      <c r="E258" s="5" t="n">
        <v>189</v>
      </c>
      <c r="F258" s="5" t="inlineStr">
        <is>
          <t>مبنى العيادة أعمال خرسانة عادية</t>
        </is>
      </c>
      <c r="G258" s="5" t="inlineStr">
        <is>
          <t>اعمال اعتيادية انشائي 74</t>
        </is>
      </c>
      <c r="H258" s="5" t="inlineStr">
        <is>
          <t>سماكة 100 ملم</t>
        </is>
      </c>
      <c r="I258" s="11" t="inlineStr">
        <is>
          <t>نعم</t>
        </is>
      </c>
      <c r="J258" s="11" t="n">
        <v>2004</v>
      </c>
      <c r="K258" s="11" t="inlineStr">
        <is>
          <t>لا يوجد مرفقات</t>
        </is>
      </c>
      <c r="L258" s="11" t="inlineStr">
        <is>
          <t>م2</t>
        </is>
      </c>
      <c r="M258" s="11" t="n">
        <v>15</v>
      </c>
      <c r="N258" s="22" t="n">
        <v>300</v>
      </c>
      <c r="O258" s="25">
        <f>N258*M258</f>
        <v/>
      </c>
      <c r="P258" s="23" t="n">
        <v>4500</v>
      </c>
    </row>
    <row r="259">
      <c r="D259" s="5" t="n">
        <v>190</v>
      </c>
      <c r="E259" s="5" t="n">
        <v>190</v>
      </c>
      <c r="F259" s="5" t="inlineStr">
        <is>
          <t>مبنى العيادة أعمال خرسانة مسلحة للقواعد</t>
        </is>
      </c>
      <c r="G259" s="5" t="inlineStr">
        <is>
          <t>اعمال اعتيادية انشائي 75</t>
        </is>
      </c>
      <c r="H259" s="5" t="inlineStr">
        <is>
          <t>القواعد ( خرسانة ملساء)</t>
        </is>
      </c>
      <c r="I259" s="11" t="inlineStr">
        <is>
          <t>نعم</t>
        </is>
      </c>
      <c r="J259" s="11" t="n">
        <v>2004</v>
      </c>
      <c r="K259" s="11" t="inlineStr">
        <is>
          <t>لا يوجد مرفقات</t>
        </is>
      </c>
      <c r="L259" s="11" t="inlineStr">
        <is>
          <t>م3</t>
        </is>
      </c>
      <c r="M259" s="11" t="n">
        <v>5</v>
      </c>
      <c r="N259" s="22" t="n">
        <v>1300</v>
      </c>
      <c r="O259" s="25">
        <f>N259*M259</f>
        <v/>
      </c>
      <c r="P259" s="23" t="n">
        <v>6500</v>
      </c>
    </row>
    <row r="260">
      <c r="D260" s="5" t="n">
        <v>191</v>
      </c>
      <c r="E260" s="5" t="n">
        <v>191</v>
      </c>
      <c r="F260" s="5" t="inlineStr">
        <is>
          <t>مبنى العيادة اعمال خرسانة مسلحة للميدات</t>
        </is>
      </c>
      <c r="G260" s="5" t="inlineStr">
        <is>
          <t>اعمال اعتيادية انشائي 76</t>
        </is>
      </c>
      <c r="H260" s="5" t="inlineStr">
        <is>
          <t>الميدات الخرسانية (خرسانة غير ملساء)</t>
        </is>
      </c>
      <c r="I260" s="11" t="inlineStr">
        <is>
          <t>نعم</t>
        </is>
      </c>
      <c r="J260" s="11" t="n">
        <v>2004</v>
      </c>
      <c r="K260" s="11" t="inlineStr">
        <is>
          <t>لا يوجد مرفقات</t>
        </is>
      </c>
      <c r="L260" s="11" t="inlineStr">
        <is>
          <t>م3</t>
        </is>
      </c>
      <c r="M260" s="11" t="n">
        <v>2</v>
      </c>
      <c r="N260" s="22" t="n">
        <v>1300</v>
      </c>
      <c r="O260" s="25">
        <f>N260*M260</f>
        <v/>
      </c>
      <c r="P260" s="23" t="n">
        <v>2600</v>
      </c>
    </row>
    <row r="261" ht="34.8" customHeight="1">
      <c r="D261" s="5" t="n">
        <v>192</v>
      </c>
      <c r="E261" s="5" t="n">
        <v>192</v>
      </c>
      <c r="F261" s="5" t="inlineStr">
        <is>
          <t>مبنى العيادة أعمال خرسانة مسلحة لرقابى الاعمدة</t>
        </is>
      </c>
      <c r="G261" s="5" t="inlineStr">
        <is>
          <t>اعمال اعتيادية انشائي 77</t>
        </is>
      </c>
      <c r="H261" s="5" t="inlineStr">
        <is>
          <t>رقاب الاعمدة والحوائط ( خرسانة ملساء)</t>
        </is>
      </c>
      <c r="I261" s="11" t="inlineStr">
        <is>
          <t>نعم</t>
        </is>
      </c>
      <c r="J261" s="11" t="n">
        <v>2004</v>
      </c>
      <c r="K261" s="11" t="inlineStr">
        <is>
          <t>لا يوجد مرفقات</t>
        </is>
      </c>
      <c r="L261" s="11" t="inlineStr">
        <is>
          <t>م3</t>
        </is>
      </c>
      <c r="M261" s="11" t="n">
        <v>1</v>
      </c>
      <c r="N261" s="22" t="n">
        <v>1300</v>
      </c>
      <c r="O261" s="25">
        <f>N261*M261</f>
        <v/>
      </c>
      <c r="P261" s="23" t="n">
        <v>1300</v>
      </c>
    </row>
    <row r="262">
      <c r="D262" s="4" t="inlineStr">
        <is>
          <t>رقم التسلسلي</t>
        </is>
      </c>
      <c r="E262" s="4" t="inlineStr">
        <is>
          <t>الفئة</t>
        </is>
      </c>
      <c r="F262" s="4" t="inlineStr">
        <is>
          <t>البند</t>
        </is>
      </c>
      <c r="G262" s="4" t="inlineStr">
        <is>
          <t>وصف البند</t>
        </is>
      </c>
      <c r="H262" s="4" t="inlineStr">
        <is>
          <t>المواصفات</t>
        </is>
      </c>
      <c r="I262" s="9" t="inlineStr">
        <is>
          <t>منتج من القائمة الإلزامية</t>
        </is>
      </c>
      <c r="J262" s="9" t="inlineStr">
        <is>
          <t>الرمز الإنشائي</t>
        </is>
      </c>
      <c r="K262" s="9" t="inlineStr">
        <is>
          <t>مرفقات</t>
        </is>
      </c>
      <c r="L262" s="9" t="inlineStr">
        <is>
          <t>وحدة القياس</t>
        </is>
      </c>
      <c r="M262" s="9" t="inlineStr">
        <is>
          <t>الكمية</t>
        </is>
      </c>
      <c r="N262" s="20" t="inlineStr">
        <is>
          <t>سعر الوحدة</t>
        </is>
      </c>
      <c r="O262" s="20" t="inlineStr">
        <is>
          <t>الإجمالي</t>
        </is>
      </c>
      <c r="P262" s="13" t="n"/>
    </row>
    <row r="263">
      <c r="D263" s="21" t="n"/>
      <c r="E263" s="21" t="n"/>
      <c r="F263" s="21" t="n"/>
      <c r="G263" s="21" t="n"/>
      <c r="H263" s="21" t="n"/>
      <c r="I263" s="21" t="n"/>
      <c r="J263" s="21" t="n"/>
      <c r="K263" s="21" t="n"/>
      <c r="L263" s="21" t="n"/>
      <c r="M263" s="21" t="n"/>
      <c r="N263" s="21" t="n"/>
      <c r="O263" s="21" t="n"/>
      <c r="P263" s="13" t="n"/>
    </row>
    <row r="264">
      <c r="D264" s="5" t="n">
        <v>193</v>
      </c>
      <c r="E264" s="5" t="n">
        <v>193</v>
      </c>
      <c r="F264" s="5" t="inlineStr">
        <is>
          <t>مبنى العيادة تركيب بلاطة ارضية 150 مم</t>
        </is>
      </c>
      <c r="G264" s="5" t="inlineStr">
        <is>
          <t>اعمال اعتيادية انشائي 78</t>
        </is>
      </c>
      <c r="H264" s="5" t="inlineStr">
        <is>
          <t>بلاطة ارضية سماكة 150 ملم ( خرسانة ملساء) 2041</t>
        </is>
      </c>
      <c r="I264" s="11" t="inlineStr">
        <is>
          <t>نعم</t>
        </is>
      </c>
      <c r="J264" s="11" t="n">
        <v>2004</v>
      </c>
      <c r="K264" s="11" t="inlineStr">
        <is>
          <t>لا يوجد مرفقات</t>
        </is>
      </c>
      <c r="L264" s="11" t="inlineStr">
        <is>
          <t>م2</t>
        </is>
      </c>
      <c r="M264" s="11" t="n">
        <v>21</v>
      </c>
      <c r="N264" s="22" t="n">
        <v>300</v>
      </c>
      <c r="O264" s="25">
        <f>N264*M264</f>
        <v/>
      </c>
      <c r="P264" s="23" t="n">
        <v>6300</v>
      </c>
    </row>
    <row r="265">
      <c r="D265" s="5" t="n">
        <v>194</v>
      </c>
      <c r="E265" s="5" t="n">
        <v>194</v>
      </c>
      <c r="F265" s="5" t="inlineStr">
        <is>
          <t>مبنى العيادة تركيب خرسانة مسلحة للاعمدة</t>
        </is>
      </c>
      <c r="G265" s="5" t="inlineStr">
        <is>
          <t>اعمال اعتيادية انشائي 79</t>
        </is>
      </c>
      <c r="H265" s="5" t="inlineStr">
        <is>
          <t>الاعمدة والحوائط ( خرسانة ملساء)</t>
        </is>
      </c>
      <c r="I265" s="11" t="inlineStr">
        <is>
          <t>نعم</t>
        </is>
      </c>
      <c r="J265" s="11" t="n">
        <v>2004</v>
      </c>
      <c r="K265" s="11" t="inlineStr">
        <is>
          <t>لا يوجد مرفقات</t>
        </is>
      </c>
      <c r="L265" s="11" t="inlineStr">
        <is>
          <t>م3</t>
        </is>
      </c>
      <c r="M265" s="11" t="n">
        <v>2</v>
      </c>
      <c r="N265" s="22" t="n">
        <v>1300</v>
      </c>
      <c r="O265" s="25">
        <f>N265*M265</f>
        <v/>
      </c>
      <c r="P265" s="23" t="n">
        <v>2600</v>
      </c>
    </row>
    <row r="266">
      <c r="D266" s="5" t="n">
        <v>195</v>
      </c>
      <c r="E266" s="5" t="n">
        <v>195</v>
      </c>
      <c r="F266" s="5" t="inlineStr">
        <is>
          <t>مبنى العيادة تركيب خرسانة مسلحة للكمرات</t>
        </is>
      </c>
      <c r="G266" s="5" t="inlineStr">
        <is>
          <t>اعمال اعتيادية انشائي 80</t>
        </is>
      </c>
      <c r="H266" s="5" t="inlineStr">
        <is>
          <t>الجسور الهابطة والحواف القائمة ( خرسانة ملساء)</t>
        </is>
      </c>
      <c r="I266" s="11" t="inlineStr">
        <is>
          <t>نعم</t>
        </is>
      </c>
      <c r="J266" s="11" t="n">
        <v>2004</v>
      </c>
      <c r="K266" s="11" t="inlineStr">
        <is>
          <t>لا يوجد مرفقات</t>
        </is>
      </c>
      <c r="L266" s="11" t="inlineStr">
        <is>
          <t>م3</t>
        </is>
      </c>
      <c r="M266" s="11" t="n">
        <v>4</v>
      </c>
      <c r="N266" s="22" t="n">
        <v>1300</v>
      </c>
      <c r="O266" s="25">
        <f>N266*M266</f>
        <v/>
      </c>
      <c r="P266" s="23" t="n">
        <v>5200</v>
      </c>
    </row>
    <row r="267">
      <c r="D267" s="5" t="n">
        <v>196</v>
      </c>
      <c r="E267" s="5" t="n">
        <v>196</v>
      </c>
      <c r="F267" s="5" t="inlineStr">
        <is>
          <t>مبنى العيادة تركيب خرسانة مسلحة 200 مم</t>
        </is>
      </c>
      <c r="G267" s="5" t="inlineStr">
        <is>
          <t>اعمال اعتيادية انشائي 81</t>
        </is>
      </c>
      <c r="H267" s="5" t="inlineStr">
        <is>
          <t>بلاطة مصمتة معلقة سماكة 200 ملم ( خرسانة ملساء)</t>
        </is>
      </c>
      <c r="I267" s="11" t="inlineStr">
        <is>
          <t>نعم</t>
        </is>
      </c>
      <c r="J267" s="11" t="n">
        <v>2004</v>
      </c>
      <c r="K267" s="11" t="inlineStr">
        <is>
          <t>لا يوجد مرفقات</t>
        </is>
      </c>
      <c r="L267" s="11" t="inlineStr">
        <is>
          <t>م3</t>
        </is>
      </c>
      <c r="M267" s="11" t="n">
        <v>5</v>
      </c>
      <c r="N267" s="22" t="n">
        <v>1300</v>
      </c>
      <c r="O267" s="25">
        <f>N267*M267</f>
        <v/>
      </c>
      <c r="P267" s="23" t="n">
        <v>6500</v>
      </c>
    </row>
    <row r="268">
      <c r="D268" s="5" t="n">
        <v>197</v>
      </c>
      <c r="E268" s="5" t="n">
        <v>197</v>
      </c>
      <c r="F268" s="5" t="inlineStr">
        <is>
          <t>مبنى العيادة تركيب غشاء بولى اثيلين</t>
        </is>
      </c>
      <c r="G268" s="5" t="inlineStr">
        <is>
          <t>اعمال اعتيادية انشائي 82</t>
        </is>
      </c>
      <c r="H268" s="5" t="inlineStr">
        <is>
          <t>غشاء بولي اثيلين عيار 1000(أسفل البلاطه الأرضية والقواعد والميدات والمنحدرات )</t>
        </is>
      </c>
      <c r="I268" s="11" t="inlineStr">
        <is>
          <t>نعم</t>
        </is>
      </c>
      <c r="J268" s="11" t="n">
        <v>2017</v>
      </c>
      <c r="K268" s="11" t="inlineStr">
        <is>
          <t>لا يوجد مرفقات</t>
        </is>
      </c>
      <c r="L268" s="11" t="inlineStr">
        <is>
          <t>م2</t>
        </is>
      </c>
      <c r="M268" s="11" t="n">
        <v>30</v>
      </c>
      <c r="N268" s="22" t="n">
        <v>40</v>
      </c>
      <c r="O268" s="25">
        <f>N268*M268</f>
        <v/>
      </c>
      <c r="P268" s="23" t="n">
        <v>1200</v>
      </c>
    </row>
    <row r="269">
      <c r="D269" s="5" t="n">
        <v>198</v>
      </c>
      <c r="E269" s="5" t="n">
        <v>198</v>
      </c>
      <c r="F269" s="5" t="inlineStr">
        <is>
          <t>مبنى العيادة تركيب غشاء بيوتمينى</t>
        </is>
      </c>
      <c r="G269" s="5" t="inlineStr">
        <is>
          <t>اعمال اعتيادية انشائي 83</t>
        </is>
      </c>
      <c r="H269" s="5" t="inlineStr">
        <is>
          <t>تحضير السطوح وتنفيذ طبقتي غشاء بيتوميني سماكة كل منهما 4 ملم وطبقة لياسة سماكة 50 ملم للبلاطات الأرضية</t>
        </is>
      </c>
      <c r="I269" s="11" t="inlineStr">
        <is>
          <t>نعم</t>
        </is>
      </c>
      <c r="J269" s="11" t="n">
        <v>2017</v>
      </c>
      <c r="K269" s="11" t="inlineStr">
        <is>
          <t>لا يوجد مرفقات</t>
        </is>
      </c>
      <c r="L269" s="11" t="inlineStr">
        <is>
          <t>م2</t>
        </is>
      </c>
      <c r="M269" s="11" t="n">
        <v>30</v>
      </c>
      <c r="N269" s="22" t="n">
        <v>60</v>
      </c>
      <c r="O269" s="25">
        <f>N269*M269</f>
        <v/>
      </c>
      <c r="P269" s="23" t="n">
        <v>1800</v>
      </c>
    </row>
    <row r="270">
      <c r="D270" s="4" t="inlineStr">
        <is>
          <t>الرقم التسلسلي</t>
        </is>
      </c>
      <c r="E270" s="4" t="inlineStr">
        <is>
          <t>الفئة</t>
        </is>
      </c>
      <c r="F270" s="4" t="inlineStr">
        <is>
          <t>البند</t>
        </is>
      </c>
      <c r="G270" s="4" t="inlineStr">
        <is>
          <t>وصف البند</t>
        </is>
      </c>
      <c r="H270" s="4" t="inlineStr">
        <is>
          <t>المواصفات</t>
        </is>
      </c>
      <c r="I270" s="9" t="inlineStr">
        <is>
          <t>منتج من القائمة الإلزامية</t>
        </is>
      </c>
      <c r="J270" s="9" t="inlineStr">
        <is>
          <t>الرمز الإنشائي</t>
        </is>
      </c>
      <c r="K270" s="9" t="inlineStr">
        <is>
          <t>مرفقات</t>
        </is>
      </c>
      <c r="L270" s="9" t="inlineStr">
        <is>
          <t>وحدة القياس</t>
        </is>
      </c>
      <c r="M270" s="9" t="inlineStr">
        <is>
          <t>الكمية</t>
        </is>
      </c>
      <c r="N270" s="20" t="inlineStr">
        <is>
          <t>سعر الوحدة</t>
        </is>
      </c>
      <c r="O270" s="20" t="inlineStr">
        <is>
          <t>الإجمالي</t>
        </is>
      </c>
      <c r="P270" s="13" t="n"/>
    </row>
    <row r="271">
      <c r="D271" s="21" t="n"/>
      <c r="E271" s="21" t="n"/>
      <c r="F271" s="21" t="n"/>
      <c r="G271" s="21" t="n"/>
      <c r="H271" s="21" t="n"/>
      <c r="I271" s="21" t="n"/>
      <c r="J271" s="21" t="n"/>
      <c r="K271" s="21" t="n"/>
      <c r="L271" s="21" t="n"/>
      <c r="M271" s="21" t="n"/>
      <c r="N271" s="21" t="n"/>
      <c r="O271" s="21" t="n"/>
      <c r="P271" s="13" t="n"/>
    </row>
    <row r="272">
      <c r="D272" s="5" t="n">
        <v>199</v>
      </c>
      <c r="E272" s="5" t="n">
        <v>199</v>
      </c>
      <c r="F272" s="5" t="inlineStr">
        <is>
          <t>مبنى العيادة أعمال طلاء بيتومينى</t>
        </is>
      </c>
      <c r="G272" s="5" t="inlineStr">
        <is>
          <t>اعمال اعتيادية انشائي 84</t>
        </is>
      </c>
      <c r="H272" s="5" t="inlineStr">
        <is>
          <t>تطبيق وجهين من طلاء بيتومين للمسطحات الخرسانية وطلاء تحضيري اولي اساس (للقواعد والميد و رقـاب الأعمدة والحنادق)</t>
        </is>
      </c>
      <c r="I272" s="11" t="inlineStr">
        <is>
          <t>نعم</t>
        </is>
      </c>
      <c r="J272" s="11" t="n">
        <v>2017</v>
      </c>
      <c r="K272" s="11" t="inlineStr">
        <is>
          <t>لا يوجد مرفقات</t>
        </is>
      </c>
      <c r="L272" s="11" t="inlineStr">
        <is>
          <t>م2</t>
        </is>
      </c>
      <c r="M272" s="11" t="n">
        <v>50</v>
      </c>
      <c r="N272" s="22" t="n">
        <v>30</v>
      </c>
      <c r="O272" s="25">
        <f>N272*M272</f>
        <v/>
      </c>
      <c r="P272" s="23" t="n">
        <v>1500</v>
      </c>
    </row>
    <row r="273" ht="34.8" customHeight="1">
      <c r="D273" s="5" t="n">
        <v>200</v>
      </c>
      <c r="E273" s="5" t="n">
        <v>200</v>
      </c>
      <c r="F273" s="5" t="inlineStr">
        <is>
          <t>مبنى مستودع الاعلاف أعمال حفر</t>
        </is>
      </c>
      <c r="G273" s="5" t="inlineStr">
        <is>
          <t>اعمال اعتيادية انشائي 85</t>
        </is>
      </c>
      <c r="H273" s="5" t="inlineStr">
        <is>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is>
      </c>
      <c r="I273" s="11" t="inlineStr">
        <is>
          <t>لا</t>
        </is>
      </c>
      <c r="J273" s="11" t="n"/>
      <c r="K273" s="11" t="inlineStr">
        <is>
          <t>لا يوجد مرفقات</t>
        </is>
      </c>
      <c r="L273" s="11" t="inlineStr">
        <is>
          <t>م3</t>
        </is>
      </c>
      <c r="M273" s="11" t="n">
        <v>1260</v>
      </c>
      <c r="N273" s="22" t="n">
        <v>50</v>
      </c>
      <c r="O273" s="25">
        <f>N273*M273</f>
        <v/>
      </c>
      <c r="P273" s="23" t="n">
        <v>63000</v>
      </c>
    </row>
    <row r="274">
      <c r="D274" s="5" t="n">
        <v>201</v>
      </c>
      <c r="E274" s="5" t="n">
        <v>201</v>
      </c>
      <c r="F274" s="5" t="inlineStr">
        <is>
          <t>مبنى مستودع الاعلاف أعمال ردم</t>
        </is>
      </c>
      <c r="G274" s="5" t="inlineStr">
        <is>
          <t>اعمال اعتيادية انشائي 86</t>
        </is>
      </c>
      <c r="H274" s="5" t="inlineStr">
        <is>
          <t>ردميات مختارة توضع حول الجدران والاساسات تدمك وتدك جيدا حسب المواصفات وطبقا لما هو مبين على المخططات</t>
        </is>
      </c>
      <c r="I274" s="11" t="inlineStr">
        <is>
          <t>لا</t>
        </is>
      </c>
      <c r="J274" s="11" t="n"/>
      <c r="K274" s="11" t="inlineStr">
        <is>
          <t>لا يوجد مرفقات</t>
        </is>
      </c>
      <c r="L274" s="11" t="inlineStr">
        <is>
          <t>م3</t>
        </is>
      </c>
      <c r="M274" s="11" t="n">
        <v>827</v>
      </c>
      <c r="N274" s="22" t="n">
        <v>60</v>
      </c>
      <c r="O274" s="25">
        <f>N274*M274</f>
        <v/>
      </c>
      <c r="P274" s="23" t="n">
        <v>49620</v>
      </c>
    </row>
    <row r="275">
      <c r="D275" s="5" t="n">
        <v>202</v>
      </c>
      <c r="E275" s="5" t="n">
        <v>202</v>
      </c>
      <c r="F275" s="5" t="inlineStr">
        <is>
          <t>مبنى مستودع الاعلاف أعمال خرسانة عادية</t>
        </is>
      </c>
      <c r="G275" s="5" t="inlineStr">
        <is>
          <t>اعمال اعتيادية انشائي 87</t>
        </is>
      </c>
      <c r="H275" s="5" t="inlineStr">
        <is>
          <t>خرسانة عادية فئة "ب "باسمنت مقاوم للكبريتات فئة (V) شاملة القوالب: سماكة 100 ملم</t>
        </is>
      </c>
      <c r="I275" s="11" t="inlineStr">
        <is>
          <t>نعم</t>
        </is>
      </c>
      <c r="J275" s="11" t="n">
        <v>2004</v>
      </c>
      <c r="K275" s="11" t="inlineStr">
        <is>
          <t>لا يوجد مرفقات</t>
        </is>
      </c>
      <c r="L275" s="11" t="inlineStr">
        <is>
          <t>م2</t>
        </is>
      </c>
      <c r="M275" s="11" t="n">
        <v>225</v>
      </c>
      <c r="N275" s="22" t="n">
        <v>300</v>
      </c>
      <c r="O275" s="25">
        <f>N275*M275</f>
        <v/>
      </c>
      <c r="P275" s="23" t="n">
        <v>67500</v>
      </c>
    </row>
    <row r="276" ht="34.8" customHeight="1">
      <c r="D276" s="5" t="n">
        <v>203</v>
      </c>
      <c r="E276" s="5" t="n">
        <v>203</v>
      </c>
      <c r="F276" s="5" t="inlineStr">
        <is>
          <t>مبنى مستودع الاعلاف أعمال خرسانة ملساء</t>
        </is>
      </c>
      <c r="G276" s="5" t="inlineStr">
        <is>
          <t>اعمال اعتيادية انشائي 88</t>
        </is>
      </c>
      <c r="H276" s="5" t="inlineStr">
        <is>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is>
      </c>
      <c r="I276" s="11" t="inlineStr">
        <is>
          <t>نعم</t>
        </is>
      </c>
      <c r="J276" s="11" t="n">
        <v>2004</v>
      </c>
      <c r="K276" s="11" t="inlineStr">
        <is>
          <t>لا يوجد مرفقات</t>
        </is>
      </c>
      <c r="L276" s="11" t="inlineStr">
        <is>
          <t>م3</t>
        </is>
      </c>
      <c r="M276" s="11" t="n">
        <v>186</v>
      </c>
      <c r="N276" s="22" t="n">
        <v>1300</v>
      </c>
      <c r="O276" s="25">
        <f>N276*M276</f>
        <v/>
      </c>
      <c r="P276" s="23" t="n">
        <v>241800</v>
      </c>
    </row>
    <row r="277" ht="34.8" customHeight="1">
      <c r="D277" s="5" t="n">
        <v>204</v>
      </c>
      <c r="E277" s="5" t="n">
        <v>204</v>
      </c>
      <c r="F277" s="5" t="inlineStr">
        <is>
          <t>مبنى مستودع الاعلاف أعمال خرسانة غير ملساء</t>
        </is>
      </c>
      <c r="G277" s="5" t="inlineStr">
        <is>
          <t>اعمال اعتيادية انشائي 89</t>
        </is>
      </c>
      <c r="H277" s="5" t="inlineStr">
        <is>
          <t>الميدات الخرسانية (خرسانة غير ملساء)</t>
        </is>
      </c>
      <c r="I277" s="11" t="inlineStr">
        <is>
          <t>نعم</t>
        </is>
      </c>
      <c r="J277" s="11" t="n">
        <v>2004</v>
      </c>
      <c r="K277" s="11" t="inlineStr">
        <is>
          <t>لا يوجد مرفقات</t>
        </is>
      </c>
      <c r="L277" s="11" t="inlineStr">
        <is>
          <t>م3</t>
        </is>
      </c>
      <c r="M277" s="11" t="n">
        <v>22</v>
      </c>
      <c r="N277" s="22" t="n">
        <v>1300</v>
      </c>
      <c r="O277" s="25">
        <f>N277*M277</f>
        <v/>
      </c>
      <c r="P277" s="23" t="n">
        <v>28600</v>
      </c>
    </row>
    <row r="278">
      <c r="D278" s="4" t="inlineStr">
        <is>
          <t>الرقم التسلسلي</t>
        </is>
      </c>
      <c r="E278" s="4" t="inlineStr">
        <is>
          <t>الفئة</t>
        </is>
      </c>
      <c r="F278" s="4" t="inlineStr">
        <is>
          <t>البند</t>
        </is>
      </c>
      <c r="G278" s="4" t="inlineStr">
        <is>
          <t>وصف البند</t>
        </is>
      </c>
      <c r="H278" s="4" t="inlineStr">
        <is>
          <t>المواصفات</t>
        </is>
      </c>
      <c r="I278" s="9" t="inlineStr">
        <is>
          <t>منتج من القائمة الإلزامية</t>
        </is>
      </c>
      <c r="J278" s="9" t="inlineStr">
        <is>
          <t>الرمز الإنشائي</t>
        </is>
      </c>
      <c r="K278" s="9" t="inlineStr">
        <is>
          <t>مرفقات</t>
        </is>
      </c>
      <c r="L278" s="9" t="inlineStr">
        <is>
          <t>وحدة القياس</t>
        </is>
      </c>
      <c r="M278" s="9" t="inlineStr">
        <is>
          <t>الكمية</t>
        </is>
      </c>
      <c r="N278" s="20" t="inlineStr">
        <is>
          <t>سعر الوحدة</t>
        </is>
      </c>
      <c r="O278" s="20" t="inlineStr">
        <is>
          <t>الإجمالي</t>
        </is>
      </c>
      <c r="P278" s="13" t="n"/>
    </row>
    <row r="279">
      <c r="D279" s="21" t="n"/>
      <c r="E279" s="21" t="n"/>
      <c r="F279" s="21" t="n"/>
      <c r="G279" s="21" t="n"/>
      <c r="H279" s="21" t="n"/>
      <c r="I279" s="21" t="n"/>
      <c r="J279" s="21" t="n"/>
      <c r="K279" s="21" t="n"/>
      <c r="L279" s="21" t="n"/>
      <c r="M279" s="21" t="n"/>
      <c r="N279" s="21" t="n"/>
      <c r="O279" s="21" t="n"/>
      <c r="P279" s="13" t="n"/>
    </row>
    <row r="280">
      <c r="D280" s="5" t="n">
        <v>205</v>
      </c>
      <c r="E280" s="5" t="n">
        <v>205</v>
      </c>
      <c r="F280" s="5" t="inlineStr">
        <is>
          <t>مبنى مستودع الاعلاف تركيب بلاطة ارضية</t>
        </is>
      </c>
      <c r="G280" s="5" t="inlineStr">
        <is>
          <t>اعمال اعتيادية انشائي 90</t>
        </is>
      </c>
      <c r="H280" s="5" t="inlineStr">
        <is>
          <t>بلاطة ارضية سماكة 200 ملم ( خرسانة ملساء)</t>
        </is>
      </c>
      <c r="I280" s="11" t="inlineStr">
        <is>
          <t>نعم</t>
        </is>
      </c>
      <c r="J280" s="11" t="n">
        <v>2004</v>
      </c>
      <c r="K280" s="11" t="inlineStr">
        <is>
          <t>لا يوجد مرفقات</t>
        </is>
      </c>
      <c r="L280" s="11" t="inlineStr">
        <is>
          <t>م2</t>
        </is>
      </c>
      <c r="M280" s="11" t="n">
        <v>19</v>
      </c>
      <c r="N280" s="22" t="n">
        <v>300</v>
      </c>
      <c r="O280" s="25">
        <f>N280*M280</f>
        <v/>
      </c>
      <c r="P280" s="23" t="n">
        <v>5700</v>
      </c>
    </row>
    <row r="281" ht="34.8" customHeight="1">
      <c r="D281" s="5" t="n">
        <v>206</v>
      </c>
      <c r="E281" s="5" t="n">
        <v>206</v>
      </c>
      <c r="F281" s="5" t="inlineStr">
        <is>
          <t>مبنى مستودع الاعلاف أعمال خرسانية لعنق الأعمدة</t>
        </is>
      </c>
      <c r="G281" s="5" t="inlineStr">
        <is>
          <t>اعمال اعتيادية انشائي 91</t>
        </is>
      </c>
      <c r="H281" s="5" t="inlineStr">
        <is>
          <t>عنق الأعمدة (خرسانة غير ملساء)</t>
        </is>
      </c>
      <c r="I281" s="11" t="inlineStr">
        <is>
          <t>نعم</t>
        </is>
      </c>
      <c r="J281" s="11" t="n">
        <v>2004</v>
      </c>
      <c r="K281" s="11" t="inlineStr">
        <is>
          <t>لا يوجد مرفقات</t>
        </is>
      </c>
      <c r="L281" s="11" t="inlineStr">
        <is>
          <t>م3</t>
        </is>
      </c>
      <c r="M281" s="11" t="n">
        <v>19</v>
      </c>
      <c r="N281" s="22" t="n">
        <v>1300</v>
      </c>
      <c r="O281" s="25">
        <f>N281*M281</f>
        <v/>
      </c>
      <c r="P281" s="23" t="n">
        <v>24700</v>
      </c>
    </row>
    <row r="282" ht="87" customHeight="1">
      <c r="D282" s="5" t="n">
        <v>207</v>
      </c>
      <c r="E282" s="5" t="n">
        <v>207</v>
      </c>
      <c r="F282" s="5" t="inlineStr">
        <is>
          <t>مبنى مستودع الاعلاف اوزان العناصر المعدنية</t>
        </is>
      </c>
      <c r="G282" s="5" t="inlineStr">
        <is>
          <t>اعمال اعتيادية انشائي 92</t>
        </is>
      </c>
      <c r="H282" s="5" t="inlineStr">
        <is>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is>
      </c>
      <c r="I282" s="11" t="inlineStr">
        <is>
          <t>نعم</t>
        </is>
      </c>
      <c r="J282" s="11" t="n">
        <v>2011</v>
      </c>
      <c r="K282" s="11" t="inlineStr">
        <is>
          <t>لا يوجد مرفقات</t>
        </is>
      </c>
      <c r="L282" s="11" t="inlineStr">
        <is>
          <t>طن</t>
        </is>
      </c>
      <c r="M282" s="11" t="n">
        <v>60</v>
      </c>
      <c r="N282" s="22" t="n">
        <v>7000</v>
      </c>
      <c r="O282" s="25">
        <f>N282*M282</f>
        <v/>
      </c>
      <c r="P282" s="23" t="n">
        <v>420000</v>
      </c>
    </row>
    <row r="283" ht="34.8" customHeight="1">
      <c r="D283" s="5" t="n">
        <v>208</v>
      </c>
      <c r="E283" s="5" t="n">
        <v>208</v>
      </c>
      <c r="F283" s="5" t="inlineStr">
        <is>
          <t>مبنى مستودع الاعلاف تركيب غشاء بولي اثيلين</t>
        </is>
      </c>
      <c r="G283" s="5" t="inlineStr">
        <is>
          <t>اعمال اعتيادية انشائي 93</t>
        </is>
      </c>
      <c r="H283" s="5" t="inlineStr">
        <is>
          <t>غشاء بولي اثيلين عيار 1000(أسفل البلاطه الأرضية والقواعد والميدات والمنحدرات )</t>
        </is>
      </c>
      <c r="I283" s="11" t="inlineStr">
        <is>
          <t>نعم</t>
        </is>
      </c>
      <c r="J283" s="11" t="n">
        <v>2017</v>
      </c>
      <c r="K283" s="11" t="inlineStr">
        <is>
          <t>لا يوجد مرفقات</t>
        </is>
      </c>
      <c r="L283" s="11" t="inlineStr">
        <is>
          <t>م2</t>
        </is>
      </c>
      <c r="M283" s="11" t="n">
        <v>225</v>
      </c>
      <c r="N283" s="22" t="n">
        <v>40</v>
      </c>
      <c r="O283" s="25">
        <f>N283*M283</f>
        <v/>
      </c>
      <c r="P283" s="23" t="n">
        <v>9000</v>
      </c>
    </row>
    <row r="284">
      <c r="D284" s="5" t="n">
        <v>209</v>
      </c>
      <c r="E284" s="5" t="n">
        <v>209</v>
      </c>
      <c r="F284" s="5" t="inlineStr">
        <is>
          <t>مبنى مستودع الاعلاف تحضير السطوح</t>
        </is>
      </c>
      <c r="G284" s="5" t="inlineStr">
        <is>
          <t>اعمال اعتيادية انشائي 94</t>
        </is>
      </c>
      <c r="H284" s="5" t="inlineStr">
        <is>
          <t>تحضير السطوح وتنفيذ طبقتي غشاء بيتوميني سماكة كل منهما 4 ملم وطبقة لياسة سماكة 50 ملم للبلاطات الأرضية</t>
        </is>
      </c>
      <c r="I284" s="11" t="inlineStr">
        <is>
          <t>نعم</t>
        </is>
      </c>
      <c r="J284" s="11" t="n">
        <v>2017</v>
      </c>
      <c r="K284" s="11" t="inlineStr">
        <is>
          <t>لا يوجد مرفقات</t>
        </is>
      </c>
      <c r="L284" s="11" t="inlineStr">
        <is>
          <t>م2</t>
        </is>
      </c>
      <c r="M284" s="11" t="n">
        <v>1900</v>
      </c>
      <c r="N284" s="22" t="n">
        <v>40</v>
      </c>
      <c r="O284" s="25">
        <f>N284*M284</f>
        <v/>
      </c>
      <c r="P284" s="23" t="n">
        <v>76000</v>
      </c>
    </row>
    <row r="285">
      <c r="D285" s="5" t="n">
        <v>210</v>
      </c>
      <c r="E285" s="5" t="n">
        <v>210</v>
      </c>
      <c r="F285" s="5" t="inlineStr">
        <is>
          <t>مبنى مستودع الاعلاف أعمال طلاء بيتومين</t>
        </is>
      </c>
      <c r="G285" s="5" t="inlineStr">
        <is>
          <t>اعمال اعتيادية انشائي 95</t>
        </is>
      </c>
      <c r="H285" s="5" t="inlineStr">
        <is>
          <t>تطبيق وجهين من طلاء بيتومين للمسطحات الخرسانية وطلاء تحضيري اولي اساس (للقواعد والميد و رقـاب الأعمدة والحنادق)</t>
        </is>
      </c>
      <c r="I285" s="11" t="inlineStr">
        <is>
          <t>نعم</t>
        </is>
      </c>
      <c r="J285" s="11" t="n">
        <v>2017</v>
      </c>
      <c r="K285" s="11" t="inlineStr">
        <is>
          <t>لا يوجد مرفقات</t>
        </is>
      </c>
      <c r="L285" s="11" t="inlineStr">
        <is>
          <t>م2</t>
        </is>
      </c>
      <c r="M285" s="11" t="n">
        <v>710</v>
      </c>
      <c r="N285" s="22" t="n">
        <v>30</v>
      </c>
      <c r="O285" s="25">
        <f>N285*M285</f>
        <v/>
      </c>
      <c r="P285" s="23" t="n">
        <v>21300</v>
      </c>
    </row>
    <row r="286">
      <c r="D286" s="4" t="inlineStr">
        <is>
          <t>الرقم التسلسلي</t>
        </is>
      </c>
      <c r="E286" s="4" t="inlineStr">
        <is>
          <t>الفئة</t>
        </is>
      </c>
      <c r="F286" s="4" t="inlineStr">
        <is>
          <t>البند</t>
        </is>
      </c>
      <c r="G286" s="4" t="inlineStr">
        <is>
          <t>وصف البند</t>
        </is>
      </c>
      <c r="H286" s="4" t="inlineStr">
        <is>
          <t>المواصفات</t>
        </is>
      </c>
      <c r="I286" s="9" t="inlineStr">
        <is>
          <t>منتج من القائمة الإلزامية</t>
        </is>
      </c>
      <c r="J286" s="9" t="inlineStr">
        <is>
          <t>الرمز الإنشائي</t>
        </is>
      </c>
      <c r="K286" s="9" t="inlineStr">
        <is>
          <t>مرفقات</t>
        </is>
      </c>
      <c r="L286" s="9" t="inlineStr">
        <is>
          <t>وحدة القياس</t>
        </is>
      </c>
      <c r="M286" s="9" t="inlineStr">
        <is>
          <t>الكمية</t>
        </is>
      </c>
      <c r="N286" s="20" t="inlineStr">
        <is>
          <t>سعر الوحدة</t>
        </is>
      </c>
      <c r="O286" s="20" t="inlineStr">
        <is>
          <t>الإجمالي</t>
        </is>
      </c>
      <c r="P286" s="13" t="n"/>
    </row>
    <row r="287">
      <c r="D287" s="21" t="n"/>
      <c r="E287" s="21" t="n"/>
      <c r="F287" s="21" t="n"/>
      <c r="G287" s="21" t="n"/>
      <c r="H287" s="21" t="n"/>
      <c r="I287" s="21" t="n"/>
      <c r="J287" s="21" t="n"/>
      <c r="K287" s="21" t="n"/>
      <c r="L287" s="21" t="n"/>
      <c r="M287" s="21" t="n"/>
      <c r="N287" s="21" t="n"/>
      <c r="O287" s="21" t="n"/>
      <c r="P287" s="13" t="n"/>
    </row>
    <row r="288" ht="52.2" customHeight="1">
      <c r="D288" s="5" t="n">
        <v>211</v>
      </c>
      <c r="E288" s="5" t="n">
        <v>211</v>
      </c>
      <c r="F288" s="5" t="inlineStr">
        <is>
          <t>الموقع العام تركيب انابيب بلاستيك 75 مم</t>
        </is>
      </c>
      <c r="G288" s="5" t="inlineStr">
        <is>
          <t>أعمال ميكانيك 1</t>
        </is>
      </c>
      <c r="H288" s="5" t="inlineStr">
        <is>
          <t>بالمتر الطولى توريد وتركيب وتشغيل وأختبار أنابيب بلاستيك UPVC صنف 4 لزوم نظام الصرف الصحي والسعر يشمل جميع المستلزمات والعلاقات والتركيب والتجارب والغسيل وجميع الأعمال المدنية وتشمل(حفر خندق بمعدل لشبكات الانابيب شاملاً تمھيد وتثبيت ودك التربة وكذلك اعادة الردم على الانابيب بعد التركيب وازالة كافة الشوائب الزائدة عن عملية الحفر والردم والشريط الإرشادى) اللازمة وكل مايلزم لإنهاء العمل على الوجه الأكمل وطبقا للمواصفات والمخططات وذلك للأقطار التالية: أناببيب UPVC قطر 75 مم - درجة 4</t>
        </is>
      </c>
      <c r="I288" s="11" t="inlineStr">
        <is>
          <t>نعم</t>
        </is>
      </c>
      <c r="J288" s="11" t="n">
        <v>2062</v>
      </c>
      <c r="K288" s="11" t="inlineStr">
        <is>
          <t>لا يوجد مرفقات</t>
        </is>
      </c>
      <c r="L288" s="11" t="inlineStr">
        <is>
          <t>مط</t>
        </is>
      </c>
      <c r="M288" s="11" t="n">
        <v>15</v>
      </c>
      <c r="N288" s="22" t="n">
        <v>120</v>
      </c>
      <c r="O288" s="25">
        <f>N288*M288</f>
        <v/>
      </c>
      <c r="P288" s="23" t="n">
        <v>1800</v>
      </c>
    </row>
    <row r="289">
      <c r="D289" s="5" t="n">
        <v>212</v>
      </c>
      <c r="E289" s="5" t="n">
        <v>212</v>
      </c>
      <c r="F289" s="5" t="inlineStr">
        <is>
          <t>الموقع العام تركيب انابيب بلاستيك 110 مم</t>
        </is>
      </c>
      <c r="G289" s="5" t="inlineStr">
        <is>
          <t>أعمال ميكانيك 2</t>
        </is>
      </c>
      <c r="H289" s="5" t="inlineStr">
        <is>
          <t>كالبند السابق توريد وتمديد انابيب الصرف الصحي بقطر اسمى 110 مم</t>
        </is>
      </c>
      <c r="I289" s="11" t="inlineStr">
        <is>
          <t>نعم</t>
        </is>
      </c>
      <c r="J289" s="11" t="n">
        <v>2062</v>
      </c>
      <c r="K289" s="11" t="inlineStr">
        <is>
          <t>لا يوجد مرفقات</t>
        </is>
      </c>
      <c r="L289" s="11" t="inlineStr">
        <is>
          <t>مط</t>
        </is>
      </c>
      <c r="M289" s="11" t="n">
        <v>130</v>
      </c>
      <c r="N289" s="22" t="n">
        <v>170</v>
      </c>
      <c r="O289" s="25">
        <f>N289*M289</f>
        <v/>
      </c>
      <c r="P289" s="23" t="n">
        <v>22100</v>
      </c>
    </row>
    <row r="290">
      <c r="D290" s="5" t="n">
        <v>213</v>
      </c>
      <c r="E290" s="5" t="n">
        <v>213</v>
      </c>
      <c r="F290" s="5" t="inlineStr">
        <is>
          <t>الموقع العام تركيب انابيب بلاستيك 160 مم</t>
        </is>
      </c>
      <c r="G290" s="5" t="inlineStr">
        <is>
          <t>أعمال ميكانيك 3</t>
        </is>
      </c>
      <c r="H290" s="5" t="inlineStr">
        <is>
          <t>كالبند السابق توريد وتمديد انابيب الصرف الصحي بقطر اسمى 160 مم</t>
        </is>
      </c>
      <c r="I290" s="11" t="inlineStr">
        <is>
          <t>نعم</t>
        </is>
      </c>
      <c r="J290" s="11" t="n">
        <v>2062</v>
      </c>
      <c r="K290" s="11" t="inlineStr">
        <is>
          <t>لا يوجد مرفقات</t>
        </is>
      </c>
      <c r="L290" s="11" t="inlineStr">
        <is>
          <t>مط</t>
        </is>
      </c>
      <c r="M290" s="11" t="n">
        <v>150</v>
      </c>
      <c r="N290" s="22" t="n">
        <v>250</v>
      </c>
      <c r="O290" s="25">
        <f>N290*M290</f>
        <v/>
      </c>
      <c r="P290" s="23" t="n">
        <v>37500</v>
      </c>
    </row>
    <row r="291">
      <c r="D291" s="5" t="n">
        <v>214</v>
      </c>
      <c r="E291" s="5" t="n">
        <v>214</v>
      </c>
      <c r="F291" s="5" t="inlineStr">
        <is>
          <t>الموقع العام تركيب انابيب بلاستيك 200 مم</t>
        </is>
      </c>
      <c r="G291" s="5" t="inlineStr">
        <is>
          <t>أعمال ميكانيك 4</t>
        </is>
      </c>
      <c r="H291" s="5" t="inlineStr">
        <is>
          <t>كالبند السابق توريد وتمديد انابيب الصرف الصحي بقطر اسمى 200 مم</t>
        </is>
      </c>
      <c r="I291" s="11" t="inlineStr">
        <is>
          <t>نعم</t>
        </is>
      </c>
      <c r="J291" s="11" t="n">
        <v>2062</v>
      </c>
      <c r="K291" s="11" t="inlineStr">
        <is>
          <t>لا يوجد مرفقات</t>
        </is>
      </c>
      <c r="L291" s="11" t="inlineStr">
        <is>
          <t>مط</t>
        </is>
      </c>
      <c r="M291" s="11" t="n">
        <v>60</v>
      </c>
      <c r="N291" s="22" t="n">
        <v>300</v>
      </c>
      <c r="O291" s="25">
        <f>N291*M291</f>
        <v/>
      </c>
      <c r="P291" s="23" t="n">
        <v>18000</v>
      </c>
    </row>
    <row r="292" ht="34.8" customHeight="1">
      <c r="D292" s="5" t="n">
        <v>215</v>
      </c>
      <c r="E292" s="5" t="n">
        <v>215</v>
      </c>
      <c r="F292" s="5" t="inlineStr">
        <is>
          <t>الموقع العام تركيب غرف تفتيش 6م</t>
        </is>
      </c>
      <c r="G292" s="5" t="inlineStr">
        <is>
          <t>أعمال ميكانيك 5</t>
        </is>
      </c>
      <c r="H292" s="5" t="inlineStr">
        <is>
          <t>غرف تفتيش من الخرسانة سابقة التجهيز بغطاء من الحديد الزهر يتحمل المرور بما فى ذلك فرش الاساس و الاعمال الترابية المتعلقة بذلك حسب المواصفات قسم 02730 غرف تفتيش 600 600X مم وحتى عمق08 متر</t>
        </is>
      </c>
      <c r="I292" s="11" t="inlineStr">
        <is>
          <t>نعم</t>
        </is>
      </c>
      <c r="J292" s="11" t="n">
        <v>2003</v>
      </c>
      <c r="K292" s="11" t="inlineStr">
        <is>
          <t>لا يوجد مرفقات</t>
        </is>
      </c>
      <c r="L292" s="11" t="inlineStr">
        <is>
          <t>عدد</t>
        </is>
      </c>
      <c r="M292" s="11" t="n">
        <v>8</v>
      </c>
      <c r="N292" s="22" t="n">
        <v>2500</v>
      </c>
      <c r="O292" s="25">
        <f>N292*M292</f>
        <v/>
      </c>
      <c r="P292" s="23" t="n">
        <v>20000</v>
      </c>
    </row>
    <row r="293">
      <c r="D293" s="5" t="n">
        <v>216</v>
      </c>
      <c r="E293" s="5" t="n">
        <v>216</v>
      </c>
      <c r="F293" s="5" t="inlineStr">
        <is>
          <t>الموقع العام تركيب غرف تفتيش 8م</t>
        </is>
      </c>
      <c r="G293" s="5" t="inlineStr">
        <is>
          <t>أعمال ميكانيك 6</t>
        </is>
      </c>
      <c r="H293" s="5" t="inlineStr">
        <is>
          <t>كالبند السابق غرف تفتيش 800 800X مم وحتى عمق12 متر</t>
        </is>
      </c>
      <c r="I293" s="11" t="inlineStr">
        <is>
          <t>نعم</t>
        </is>
      </c>
      <c r="J293" s="11" t="n">
        <v>2003</v>
      </c>
      <c r="K293" s="11" t="inlineStr">
        <is>
          <t>لا يوجد مرفقات</t>
        </is>
      </c>
      <c r="L293" s="11" t="inlineStr">
        <is>
          <t>عدد</t>
        </is>
      </c>
      <c r="M293" s="11" t="n">
        <v>3</v>
      </c>
      <c r="N293" s="22" t="n">
        <v>9000</v>
      </c>
      <c r="O293" s="25">
        <f>N293*M293</f>
        <v/>
      </c>
      <c r="P293" s="23" t="n">
        <v>27000</v>
      </c>
    </row>
    <row r="294">
      <c r="D294" s="4" t="inlineStr">
        <is>
          <t>الرقم التسلسلي</t>
        </is>
      </c>
      <c r="E294" s="4" t="inlineStr">
        <is>
          <t>الفئة</t>
        </is>
      </c>
      <c r="F294" s="4" t="inlineStr">
        <is>
          <t>البند</t>
        </is>
      </c>
      <c r="G294" s="4" t="inlineStr">
        <is>
          <t>وصف البند</t>
        </is>
      </c>
      <c r="H294" s="4" t="inlineStr">
        <is>
          <t>المواصفات</t>
        </is>
      </c>
      <c r="I294" s="9" t="inlineStr">
        <is>
          <t>منتج من القائمة الإلزامية</t>
        </is>
      </c>
      <c r="J294" s="9" t="inlineStr">
        <is>
          <t>الرمز الإنشائي</t>
        </is>
      </c>
      <c r="K294" s="9" t="inlineStr">
        <is>
          <t>مرفقات</t>
        </is>
      </c>
      <c r="L294" s="9" t="inlineStr">
        <is>
          <t>وحدة القياس</t>
        </is>
      </c>
      <c r="M294" s="9" t="inlineStr">
        <is>
          <t>الكمية</t>
        </is>
      </c>
      <c r="N294" s="20" t="inlineStr">
        <is>
          <t>سعر الوحدة</t>
        </is>
      </c>
      <c r="O294" s="20" t="inlineStr">
        <is>
          <t>الإجمالي</t>
        </is>
      </c>
      <c r="P294" s="13" t="n"/>
    </row>
    <row r="295">
      <c r="D295" s="21" t="n"/>
      <c r="E295" s="21" t="n"/>
      <c r="F295" s="21" t="n"/>
      <c r="G295" s="21" t="n"/>
      <c r="H295" s="21" t="n"/>
      <c r="I295" s="21" t="n"/>
      <c r="J295" s="21" t="n"/>
      <c r="K295" s="21" t="n"/>
      <c r="L295" s="21" t="n"/>
      <c r="M295" s="21" t="n"/>
      <c r="N295" s="21" t="n"/>
      <c r="O295" s="21" t="n"/>
      <c r="P295" s="13" t="n"/>
    </row>
    <row r="296" ht="69.59999999999999" customHeight="1">
      <c r="D296" s="5" t="n">
        <v>217</v>
      </c>
      <c r="E296" s="5" t="n">
        <v>217</v>
      </c>
      <c r="F296" s="5" t="inlineStr">
        <is>
          <t>الموقع العام تركيب طبقة ايبوكسى</t>
        </is>
      </c>
      <c r="G296" s="5" t="inlineStr">
        <is>
          <t>أعمال ميكانيك 7</t>
        </is>
      </c>
      <c r="H296" s="5" t="inlineStr">
        <is>
          <t>توريد وتركيب وتشطيب (مغطى من الداخل بطبقة من الأيبوكسى ومن الخارج بالبتومين ) وتوصيل خرسانية سابقة التجھيز بالموقع العام (MH ) وإختبار مطابق صرف خارجية واعمال الحفر والردم والتخلص من الشوائب الناتجة من عملية الحفر وصب القاعدة الخرسانية الخاصة بھا فى الموقع وذلك لشبكات الصرف الصحي ASTMC مطابقة للمواصفة الامريكية ٤٧٨ والبند يشتمل على غطاء من الزھر المرن العالى التحمل ومطابق للمواصفات ومزودة بدرجات سلالم بداخلھا مصنوعة من الحديد SASO السعودية ٤١٣ المجلفن المغطى بطبقة من الإيبوكسى ومانعة للإنزلاق والبند مطابق طبقا للمواصفات و المخططات مطبق دائرية بقطر 1م وعمق من 100-250 متر</t>
        </is>
      </c>
      <c r="I296" s="11" t="inlineStr">
        <is>
          <t>نعم</t>
        </is>
      </c>
      <c r="J296" s="11" t="n">
        <v>2003</v>
      </c>
      <c r="K296" s="11" t="inlineStr">
        <is>
          <t>لا يوجد مرفقات</t>
        </is>
      </c>
      <c r="L296" s="11" t="inlineStr">
        <is>
          <t>عدد</t>
        </is>
      </c>
      <c r="M296" s="11" t="n">
        <v>3</v>
      </c>
      <c r="N296" s="22" t="n">
        <v>2500</v>
      </c>
      <c r="O296" s="25">
        <f>N296*M296</f>
        <v/>
      </c>
      <c r="P296" s="23" t="n">
        <v>7500</v>
      </c>
    </row>
    <row r="297" ht="34.8" customHeight="1">
      <c r="D297" s="5" t="n">
        <v>218</v>
      </c>
      <c r="E297" s="5" t="n">
        <v>218</v>
      </c>
      <c r="F297" s="5" t="inlineStr">
        <is>
          <t>الموقع العام تركيب جاليتراب</t>
        </is>
      </c>
      <c r="G297" s="5" t="inlineStr">
        <is>
          <t>أعمال ميكانيك 8</t>
        </is>
      </c>
      <c r="H297" s="5" t="inlineStr">
        <is>
          <t>بالعدد توريد وتركيب واختبار جاليتراب مباني 400*400 مم والسعر يشمل توريد وتركيب غطاء من عينة معتمدة وكل ما يلزم لإنهاء العمل إنهاءا تاماً وكاملاً طبقاً للرسومات المرفقة والمواصفات الفنية وأصول الصناعة وتعليمات المهندس المشرف</t>
        </is>
      </c>
      <c r="I297" s="11" t="inlineStr">
        <is>
          <t>لا</t>
        </is>
      </c>
      <c r="J297" s="11" t="n"/>
      <c r="K297" s="11" t="inlineStr">
        <is>
          <t>لا يوجد مرفقات</t>
        </is>
      </c>
      <c r="L297" s="11" t="inlineStr">
        <is>
          <t>عدد</t>
        </is>
      </c>
      <c r="M297" s="11" t="n">
        <v>6</v>
      </c>
      <c r="N297" s="22" t="n">
        <v>400</v>
      </c>
      <c r="O297" s="25">
        <f>N297*M297</f>
        <v/>
      </c>
      <c r="P297" s="23" t="n">
        <v>2400</v>
      </c>
    </row>
    <row r="298" ht="52.2" customHeight="1">
      <c r="D298" s="5" t="n">
        <v>219</v>
      </c>
      <c r="E298" s="5" t="n">
        <v>219</v>
      </c>
      <c r="F298" s="5" t="inlineStr">
        <is>
          <t>الموقع العام مواسير بلاستيك 25 مم</t>
        </is>
      </c>
      <c r="G298" s="5" t="inlineStr">
        <is>
          <t>أعمال ميكانيك 9</t>
        </is>
      </c>
      <c r="H298" s="5" t="inlineStr">
        <is>
          <t>أعمال شبكة المياة :- توريد و تركيب و اختبار مواسير بلاستيك ( UPVC) فئة 5 والسعر يشمل توريد الأنابيب وجميع القطع الخاصة من مشتركات ومساليب وأكواع و صمامات و غرف الصمامات وخلافه والتمديد والتركيب والحفر في أي تربه بما في ذلك الصخر وإعادة السطح إلى ما كان عليه والاختبار وتجهيز التشغيل وكل ما يلزم لإنهاء العمل على الوجه الأكمل وطبقاً للمخططات والمواصفات بقطر اسمى 25 مم</t>
        </is>
      </c>
      <c r="I298" s="11" t="inlineStr">
        <is>
          <t>نعم</t>
        </is>
      </c>
      <c r="J298" s="11" t="n">
        <v>2062</v>
      </c>
      <c r="K298" s="11" t="inlineStr">
        <is>
          <t>لا يوجد مرفقات</t>
        </is>
      </c>
      <c r="L298" s="11" t="inlineStr">
        <is>
          <t>مط</t>
        </is>
      </c>
      <c r="M298" s="11" t="n">
        <v>10</v>
      </c>
      <c r="N298" s="22" t="n">
        <v>40</v>
      </c>
      <c r="O298" s="25">
        <f>N298*M298</f>
        <v/>
      </c>
      <c r="P298" s="23" t="n">
        <v>400</v>
      </c>
    </row>
    <row r="299">
      <c r="D299" s="5" t="n">
        <v>220</v>
      </c>
      <c r="E299" s="5" t="n">
        <v>220</v>
      </c>
      <c r="F299" s="5" t="inlineStr">
        <is>
          <t>الموقع العام مواسير بلاستيك 32 مم</t>
        </is>
      </c>
      <c r="G299" s="5" t="inlineStr">
        <is>
          <t>أعمال ميكانيك 10</t>
        </is>
      </c>
      <c r="H299" s="5" t="inlineStr">
        <is>
          <t>كالسابق بقطر اسمى 32 مم</t>
        </is>
      </c>
      <c r="I299" s="11" t="inlineStr">
        <is>
          <t>نعم</t>
        </is>
      </c>
      <c r="J299" s="11" t="n">
        <v>2062</v>
      </c>
      <c r="K299" s="11" t="inlineStr">
        <is>
          <t>لا يوجد مرفقات</t>
        </is>
      </c>
      <c r="L299" s="11" t="inlineStr">
        <is>
          <t>مط</t>
        </is>
      </c>
      <c r="M299" s="11" t="n">
        <v>25</v>
      </c>
      <c r="N299" s="22" t="n">
        <v>50</v>
      </c>
      <c r="O299" s="25">
        <f>N299*M299</f>
        <v/>
      </c>
      <c r="P299" s="23" t="n">
        <v>1250</v>
      </c>
    </row>
    <row r="300">
      <c r="D300" s="5" t="n">
        <v>221</v>
      </c>
      <c r="E300" s="5" t="n">
        <v>221</v>
      </c>
      <c r="F300" s="5" t="inlineStr">
        <is>
          <t>الموقع العام مواسير بلاستيك 40 مم</t>
        </is>
      </c>
      <c r="G300" s="5" t="inlineStr">
        <is>
          <t>أعمال ميكانيك 11</t>
        </is>
      </c>
      <c r="H300" s="5" t="inlineStr">
        <is>
          <t>كالسابق بقطر اسمى 40 مم</t>
        </is>
      </c>
      <c r="I300" s="11" t="inlineStr">
        <is>
          <t>نعم</t>
        </is>
      </c>
      <c r="J300" s="11" t="n">
        <v>2062</v>
      </c>
      <c r="K300" s="11" t="inlineStr">
        <is>
          <t>لا يوجد مرفقات</t>
        </is>
      </c>
      <c r="L300" s="11" t="inlineStr">
        <is>
          <t>مط</t>
        </is>
      </c>
      <c r="M300" s="11" t="n">
        <v>5</v>
      </c>
      <c r="N300" s="22" t="n">
        <v>60</v>
      </c>
      <c r="O300" s="25">
        <f>N300*M300</f>
        <v/>
      </c>
      <c r="P300" s="23" t="n">
        <v>300</v>
      </c>
    </row>
    <row r="301">
      <c r="D301" s="5" t="n">
        <v>222</v>
      </c>
      <c r="E301" s="5" t="n">
        <v>222</v>
      </c>
      <c r="F301" s="5" t="inlineStr">
        <is>
          <t>الموقع العام مواسير بلاستيك 50 مم</t>
        </is>
      </c>
      <c r="G301" s="5" t="inlineStr">
        <is>
          <t>أعمال ميكانيك 12</t>
        </is>
      </c>
      <c r="H301" s="5" t="inlineStr">
        <is>
          <t>كالسابق بقطر اسمى 50 مم</t>
        </is>
      </c>
      <c r="I301" s="11" t="inlineStr">
        <is>
          <t>نعم</t>
        </is>
      </c>
      <c r="J301" s="11" t="n">
        <v>2062</v>
      </c>
      <c r="K301" s="11" t="inlineStr">
        <is>
          <t>لا يوجد مرفقات</t>
        </is>
      </c>
      <c r="L301" s="11" t="inlineStr">
        <is>
          <t>مط</t>
        </is>
      </c>
      <c r="M301" s="11" t="n">
        <v>90</v>
      </c>
      <c r="N301" s="22" t="n">
        <v>70</v>
      </c>
      <c r="O301" s="25">
        <f>N301*M301</f>
        <v/>
      </c>
      <c r="P301" s="23" t="n">
        <v>6300</v>
      </c>
    </row>
    <row r="302">
      <c r="D302" s="4" t="inlineStr">
        <is>
          <t>لرقم التسلسلي</t>
        </is>
      </c>
      <c r="E302" s="4" t="inlineStr">
        <is>
          <t>الفئة</t>
        </is>
      </c>
      <c r="F302" s="4" t="inlineStr">
        <is>
          <t>البند</t>
        </is>
      </c>
      <c r="G302" s="4" t="inlineStr">
        <is>
          <t>وصف البند</t>
        </is>
      </c>
      <c r="H302" s="4" t="inlineStr">
        <is>
          <t>المواصفات</t>
        </is>
      </c>
      <c r="I302" s="9" t="inlineStr">
        <is>
          <t>منتج من القائمة الإلزامية</t>
        </is>
      </c>
      <c r="J302" s="9" t="inlineStr">
        <is>
          <t>الرمز الإنشائي</t>
        </is>
      </c>
      <c r="K302" s="9" t="inlineStr">
        <is>
          <t>مرفقات</t>
        </is>
      </c>
      <c r="L302" s="9" t="inlineStr">
        <is>
          <t>وحدة القياس</t>
        </is>
      </c>
      <c r="M302" s="9" t="inlineStr">
        <is>
          <t>الكمية</t>
        </is>
      </c>
      <c r="N302" s="20" t="inlineStr">
        <is>
          <t>سعر الوحدة</t>
        </is>
      </c>
      <c r="O302" s="20" t="inlineStr">
        <is>
          <t>الإجمالي</t>
        </is>
      </c>
      <c r="P302" s="13" t="n"/>
    </row>
    <row r="303">
      <c r="D303" s="21" t="n"/>
      <c r="E303" s="21" t="n"/>
      <c r="F303" s="21" t="n"/>
      <c r="G303" s="21" t="n"/>
      <c r="H303" s="21" t="n"/>
      <c r="I303" s="21" t="n"/>
      <c r="J303" s="21" t="n"/>
      <c r="K303" s="21" t="n"/>
      <c r="L303" s="21" t="n"/>
      <c r="M303" s="21" t="n"/>
      <c r="N303" s="21" t="n"/>
      <c r="O303" s="21" t="n"/>
      <c r="P303" s="13" t="n"/>
    </row>
    <row r="304">
      <c r="D304" s="5" t="n">
        <v>223</v>
      </c>
      <c r="E304" s="5" t="n">
        <v>223</v>
      </c>
      <c r="F304" s="5" t="inlineStr">
        <is>
          <t>الموقع العام مواسير بلاستيك 63 مم</t>
        </is>
      </c>
      <c r="G304" s="5" t="inlineStr">
        <is>
          <t>أعمال ميكانيك 13</t>
        </is>
      </c>
      <c r="H304" s="5" t="inlineStr">
        <is>
          <t>كالسابق بقطر اسمى 63 مم</t>
        </is>
      </c>
      <c r="I304" s="11" t="inlineStr">
        <is>
          <t>نعم</t>
        </is>
      </c>
      <c r="J304" s="11" t="n">
        <v>2062</v>
      </c>
      <c r="K304" s="11" t="inlineStr">
        <is>
          <t>لا يوجد مرفقات</t>
        </is>
      </c>
      <c r="L304" s="11" t="inlineStr">
        <is>
          <t>مط</t>
        </is>
      </c>
      <c r="M304" s="11" t="n">
        <v>10</v>
      </c>
      <c r="N304" s="22" t="n">
        <v>100</v>
      </c>
      <c r="O304" s="25">
        <f>N304*M304</f>
        <v/>
      </c>
      <c r="P304" s="23" t="n">
        <v>1000</v>
      </c>
    </row>
    <row r="305">
      <c r="D305" s="5" t="n">
        <v>224</v>
      </c>
      <c r="E305" s="5" t="n">
        <v>224</v>
      </c>
      <c r="F305" s="5" t="inlineStr">
        <is>
          <t>الموقع العام مواسير بلاستيك 75 مم</t>
        </is>
      </c>
      <c r="G305" s="5" t="inlineStr">
        <is>
          <t>أعمال ميكانيك 14</t>
        </is>
      </c>
      <c r="H305" s="5" t="inlineStr">
        <is>
          <t>كالسابق بقطر اسمى 75 مم</t>
        </is>
      </c>
      <c r="I305" s="11" t="inlineStr">
        <is>
          <t>نعم</t>
        </is>
      </c>
      <c r="J305" s="11" t="n">
        <v>2062</v>
      </c>
      <c r="K305" s="11" t="inlineStr">
        <is>
          <t>لا يوجد مرفقات</t>
        </is>
      </c>
      <c r="L305" s="11" t="inlineStr">
        <is>
          <t>مط</t>
        </is>
      </c>
      <c r="M305" s="11" t="n">
        <v>120</v>
      </c>
      <c r="N305" s="22" t="n">
        <v>120</v>
      </c>
      <c r="O305" s="25">
        <f>N305*M305</f>
        <v/>
      </c>
      <c r="P305" s="23" t="n">
        <v>14400</v>
      </c>
    </row>
    <row r="306">
      <c r="D306" s="5" t="n">
        <v>225</v>
      </c>
      <c r="E306" s="5" t="n">
        <v>225</v>
      </c>
      <c r="F306" s="5" t="inlineStr">
        <is>
          <t>الموقع العام مواسير بلاستيك 110 مم</t>
        </is>
      </c>
      <c r="G306" s="5" t="inlineStr">
        <is>
          <t>أعمال ميكانيك 15</t>
        </is>
      </c>
      <c r="H306" s="5" t="inlineStr">
        <is>
          <t>كالسابق بقطر اسمى 110 مم</t>
        </is>
      </c>
      <c r="I306" s="11" t="inlineStr">
        <is>
          <t>نعم</t>
        </is>
      </c>
      <c r="J306" s="11" t="n">
        <v>2062</v>
      </c>
      <c r="K306" s="11" t="inlineStr">
        <is>
          <t>لا يوجد مرفقات</t>
        </is>
      </c>
      <c r="L306" s="11" t="inlineStr">
        <is>
          <t>مط</t>
        </is>
      </c>
      <c r="M306" s="11" t="n">
        <v>5</v>
      </c>
      <c r="N306" s="22" t="n">
        <v>160</v>
      </c>
      <c r="O306" s="25">
        <f>N306*M306</f>
        <v/>
      </c>
      <c r="P306" s="23" t="n">
        <v>800</v>
      </c>
    </row>
    <row r="307" ht="87" customHeight="1">
      <c r="D307" s="5" t="n">
        <v>226</v>
      </c>
      <c r="E307" s="5" t="n">
        <v>226</v>
      </c>
      <c r="F307" s="5" t="inlineStr">
        <is>
          <t>الموقع العام تركيب مضخات المياه</t>
        </is>
      </c>
      <c r="G307" s="5" t="inlineStr">
        <is>
          <t>أعمال ميكانيك 16</t>
        </is>
      </c>
      <c r="H307" s="5" t="inlineStr">
        <is>
          <t>بالعدد توريد وتركيب واختيار مضخة رفع رأسية متغيرة السرعات واحدة تعمل و اخرى احتياطية خاصة بأعمال التغذية ماركة معتمده ذات محرك كهربائي تصرف الواحدة 700 لتر/ ثانية ورافع مانومتري 350 بار والسعر يشمل جميع التوصيلات الميكانيكية من مواسير ومحابس القفل وعدم الارتداد ووصلات التمدد ومحبس تفريغ الهواء وعداد قياس التصرف والضغط والأعمال المدنية من قواعد خرسانية للطلمبات ترتفع من الأرض بمقدار 15سم، والسعر يشمل جميع أعمال التوريد والتركيب وقطع الغيار وكافة الأعمال المدنية والميكانيكية والكهربائية ولوحة التحكم ومفاتيح تشغيل الطلمبة عن طريق ضغط الشبكة وكافة الأعمال اللازمة لحماية الطلمبات من التصرف الجاف وخلافه وكل ما يلزم لإنهاء العمل إنهاءا تاماً وكامـلاً حســـب أصول الصناعة وطبقاً للرسومات والمواصفات المرفقة (على أن تقدم مع العطاء شهادة المنشأ والكتالوجات والمنتجات الخاصة بالطلمبات المقترحة)</t>
        </is>
      </c>
      <c r="I307" s="11" t="inlineStr">
        <is>
          <t>لا</t>
        </is>
      </c>
      <c r="J307" s="11" t="n"/>
      <c r="K307" s="11" t="inlineStr">
        <is>
          <t>لا يوجد مرفقات</t>
        </is>
      </c>
      <c r="L307" s="11" t="inlineStr">
        <is>
          <t>عدد</t>
        </is>
      </c>
      <c r="M307" s="11" t="n">
        <v>1</v>
      </c>
      <c r="N307" s="22" t="n">
        <v>55000</v>
      </c>
      <c r="O307" s="25">
        <f>N307*M307</f>
        <v/>
      </c>
      <c r="P307" s="23" t="n">
        <v>55000</v>
      </c>
    </row>
    <row r="308" ht="52.2" customHeight="1">
      <c r="D308" s="5" t="n">
        <v>227</v>
      </c>
      <c r="E308" s="5" t="n">
        <v>227</v>
      </c>
      <c r="F308" s="5" t="inlineStr">
        <is>
          <t>الموقع العام تركيب مواسير بلاستيك عالى الكثافة 110مم</t>
        </is>
      </c>
      <c r="G308" s="5" t="inlineStr">
        <is>
          <t>أعمال ميكانيك 17</t>
        </is>
      </c>
      <c r="H308" s="5" t="inlineStr">
        <is>
          <t>توريد و تركيب و اختبار مواسير مياه الحريق بقطر اسمى 110 مم ( HDPE)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is>
      </c>
      <c r="I308" s="11" t="inlineStr">
        <is>
          <t>نعم</t>
        </is>
      </c>
      <c r="J308" s="11" t="n">
        <v>2054</v>
      </c>
      <c r="K308" s="11" t="inlineStr">
        <is>
          <t>لا يوجد مرفقات</t>
        </is>
      </c>
      <c r="L308" s="11" t="inlineStr">
        <is>
          <t>مط</t>
        </is>
      </c>
      <c r="M308" s="11" t="n">
        <v>15</v>
      </c>
      <c r="N308" s="22" t="n">
        <v>160</v>
      </c>
      <c r="O308" s="25">
        <f>N308*M308</f>
        <v/>
      </c>
      <c r="P308" s="23" t="n">
        <v>2400</v>
      </c>
    </row>
    <row r="309" ht="34.8" customHeight="1">
      <c r="D309" s="5" t="n">
        <v>228</v>
      </c>
      <c r="E309" s="5" t="n">
        <v>228</v>
      </c>
      <c r="F309" s="5" t="inlineStr">
        <is>
          <t>الموقع العام تركيب مواسير بلاستيك عالى الكثافة 160مم</t>
        </is>
      </c>
      <c r="G309" s="5" t="inlineStr">
        <is>
          <t>أعمال ميكانيك 18</t>
        </is>
      </c>
      <c r="H309" s="5" t="inlineStr">
        <is>
          <t>كالبند السابق توريد وتمديد انابيب مياه الحريق بقطر اسمى 160 مم</t>
        </is>
      </c>
      <c r="I309" s="11" t="inlineStr">
        <is>
          <t>نعم</t>
        </is>
      </c>
      <c r="J309" s="11" t="n">
        <v>2054</v>
      </c>
      <c r="K309" s="11" t="inlineStr">
        <is>
          <t>لا يوجد مرفقات</t>
        </is>
      </c>
      <c r="L309" s="11" t="inlineStr">
        <is>
          <t>مط</t>
        </is>
      </c>
      <c r="M309" s="11" t="n">
        <v>120</v>
      </c>
      <c r="N309" s="22" t="n">
        <v>250</v>
      </c>
      <c r="O309" s="25">
        <f>N309*M309</f>
        <v/>
      </c>
      <c r="P309" s="23" t="n">
        <v>30000</v>
      </c>
    </row>
    <row r="310">
      <c r="D310" s="4" t="inlineStr">
        <is>
          <t>الرقم التسلسلي</t>
        </is>
      </c>
      <c r="E310" s="4" t="inlineStr">
        <is>
          <t>الفئة</t>
        </is>
      </c>
      <c r="F310" s="4" t="inlineStr">
        <is>
          <t>البند</t>
        </is>
      </c>
      <c r="G310" s="4" t="inlineStr">
        <is>
          <t>وصف البند</t>
        </is>
      </c>
      <c r="H310" s="4" t="inlineStr">
        <is>
          <t>المواصفات</t>
        </is>
      </c>
      <c r="I310" s="9" t="inlineStr">
        <is>
          <t>منتج من القائمة الإلزامية</t>
        </is>
      </c>
      <c r="J310" s="9" t="inlineStr">
        <is>
          <t>الرمز الإنشائي</t>
        </is>
      </c>
      <c r="K310" s="9" t="inlineStr">
        <is>
          <t>مرفقات</t>
        </is>
      </c>
      <c r="L310" s="9" t="inlineStr">
        <is>
          <t>وحدة القياس</t>
        </is>
      </c>
      <c r="M310" s="9" t="inlineStr">
        <is>
          <t>الكمية</t>
        </is>
      </c>
      <c r="N310" s="20" t="inlineStr">
        <is>
          <t>سعر الوحدة</t>
        </is>
      </c>
      <c r="O310" s="20" t="inlineStr">
        <is>
          <t>الإجمالي</t>
        </is>
      </c>
      <c r="P310" s="13" t="n"/>
    </row>
    <row r="311">
      <c r="D311" s="21" t="n"/>
      <c r="E311" s="21" t="n"/>
      <c r="F311" s="21" t="n"/>
      <c r="G311" s="21" t="n"/>
      <c r="H311" s="21" t="n"/>
      <c r="I311" s="21" t="n"/>
      <c r="J311" s="21" t="n"/>
      <c r="K311" s="21" t="n"/>
      <c r="L311" s="21" t="n"/>
      <c r="M311" s="21" t="n"/>
      <c r="N311" s="21" t="n"/>
      <c r="O311" s="21" t="n"/>
      <c r="P311" s="13" t="n"/>
    </row>
    <row r="312" ht="52.2" customHeight="1">
      <c r="D312" s="5" t="n">
        <v>229</v>
      </c>
      <c r="E312" s="5" t="n">
        <v>229</v>
      </c>
      <c r="F312" s="5" t="inlineStr">
        <is>
          <t>تركيب عساكر حريق</t>
        </is>
      </c>
      <c r="G312" s="5" t="inlineStr">
        <is>
          <t>أعمال ميكانيك 19</t>
        </is>
      </c>
      <c r="H312" s="5" t="inlineStr">
        <is>
          <t>بالعدد توريد وتركيب وتشغيل تجريبي وأختبار عساكر حريق (Fire Hydyant)(FH) (UL/FM) قطر100 مم مع كابينه خرطوم مياه ( خرطوم حريق مختبر بطول أو30متر ) شاملة جميع التوصيلات اللازمة والسعر يشمل محبس بوابي وجزع الإستطالة والغطاء (SB) والمفتاح وماسورةالحماية قطر 6 بوصة على شكل مثلث تثبت بالأرض وبإرتفاع مناسب وكل ما يلزم لإنهاء العمل على الوجه الأكمل وطبقاً للمواصفات والمخططات واشترطات الدفاع المدنى و NFPA واعتماد المهندس المشرف</t>
        </is>
      </c>
      <c r="I312" s="11" t="inlineStr">
        <is>
          <t>لا</t>
        </is>
      </c>
      <c r="J312" s="11" t="n"/>
      <c r="K312" s="11" t="inlineStr">
        <is>
          <t>لا يوجد مرفقات</t>
        </is>
      </c>
      <c r="L312" s="11" t="inlineStr">
        <is>
          <t>عدد</t>
        </is>
      </c>
      <c r="M312" s="11" t="n">
        <v>4</v>
      </c>
      <c r="N312" s="22" t="n">
        <v>6000</v>
      </c>
      <c r="O312" s="25">
        <f>N312*M312</f>
        <v/>
      </c>
      <c r="P312" s="23" t="n">
        <v>24000</v>
      </c>
    </row>
    <row r="313" ht="121.8" customHeight="1">
      <c r="D313" s="5" t="n">
        <v>230</v>
      </c>
      <c r="E313" s="5" t="n">
        <v>230</v>
      </c>
      <c r="F313" s="5" t="inlineStr">
        <is>
          <t>تركيب مضخات الحريق</t>
        </is>
      </c>
      <c r="G313" s="5" t="inlineStr">
        <is>
          <t>أعمال ميكانيك 20</t>
        </is>
      </c>
      <c r="H313" s="5" t="inlineStr">
        <is>
          <t>توريد وتركيب وإختبار و تشغيل مضخات حريق طرد مركزى مختبرة من UL ومعتمدة من الـ FM كاملة مع كافة المستلزمات الميكانيكية ( صمامات تحكم - وصلات مرنة - وصلات ميكانيكية ,,,,,,,,, الخ ) بحيث يتم توريد مضخة الحريق وحدة واحدة متكاملة تحتوى على مضخة تعمل بمحرك كهربى واخرى تعمل بمحرك ديزل والاخيرة مضخة تعويضية تعمل بمحرك كهربى شاملة اللوحات الكهربية ( تشغيل وتحكم ) وتكون المضخات بالسعات التالية : ا- مضخة رئيسية تعمل بمحرك كهربى سعة تدفق ( 500 ) جالون فى الدقيقة و ذلك عند ضغط قدرة ( 9 ) 2- مضخة إحتياطيه تعمل بمحرك ديزيل سعة تدفق ( 500 ) جالون فى الدقيقة و ذلك عند ضغط قدرة ( 9 ) بار بخزان وقود سعة 90 جالون وعدد 2 بطارية كل واحدة منهما على حده 24 فولت 3- مضخة تعويضية تعمل بمحرك كهربى سعة تدفق ( 50 ) جالون فى الدقيقة وذلك عند ضغط قدرة ( 10 ) بار ويتم تركيب المجموعة على شاسية واحدة يتم تثبيتة على قاعدة خرسانية و السعر يشمل جميع المستلزمات اللازمة ويشمل كل الاكسسوارات والمحابس والقطع والوصلات والتحاميل وكل ما يلزم لإنهاء العمل كما هو مبين فى المواصفات والرسومات وتحت إشراف المهندس المشرف لآنهاء التركيبات والتثبيت حتى الربط على خط الانابيب الرئيسى المغذى للشبكة</t>
        </is>
      </c>
      <c r="I313" s="11" t="inlineStr">
        <is>
          <t>لا</t>
        </is>
      </c>
      <c r="J313" s="11" t="n"/>
      <c r="K313" s="11" t="inlineStr">
        <is>
          <t>لا يوجد مرفقات</t>
        </is>
      </c>
      <c r="L313" s="11" t="inlineStr">
        <is>
          <t>عدد</t>
        </is>
      </c>
      <c r="M313" s="11" t="n">
        <v>1</v>
      </c>
      <c r="N313" s="22" t="n">
        <v>75000</v>
      </c>
      <c r="O313" s="25">
        <f>N313*M313</f>
        <v/>
      </c>
      <c r="P313" s="23" t="n">
        <v>75000</v>
      </c>
    </row>
    <row r="314" ht="34.8" customHeight="1">
      <c r="D314" s="5" t="n">
        <v>231</v>
      </c>
      <c r="E314" s="5" t="n">
        <v>231</v>
      </c>
      <c r="F314" s="5" t="inlineStr">
        <is>
          <t>تركيب مواسير الحديد المجلفنة</t>
        </is>
      </c>
      <c r="G314" s="5" t="inlineStr">
        <is>
          <t>أعمال ميكانيك 21</t>
        </is>
      </c>
      <c r="H314" s="5" t="inlineStr">
        <is>
          <t>توريد و تركيب وتوصيل و اختبار مواسير الحديد المجلفنة بغرفة الطلمبات مشتملة على خط الاختبار و مواسير السحب و الطرد والاختبار و تصريف الضغط والاكواع وجميع المحابس و الاكسسوارات لاتمام العمل على اكمل وجه طبقا للرسومات والمواصفات وتوجيه المهندس المشرف</t>
        </is>
      </c>
      <c r="I314" s="11" t="inlineStr">
        <is>
          <t>نعم</t>
        </is>
      </c>
      <c r="J314" s="11" t="n">
        <v>2102</v>
      </c>
      <c r="K314" s="11" t="inlineStr">
        <is>
          <t>لا يوجد مرفقات</t>
        </is>
      </c>
      <c r="L314" s="11" t="inlineStr">
        <is>
          <t>مط</t>
        </is>
      </c>
      <c r="M314" s="11" t="n">
        <v>50</v>
      </c>
      <c r="N314" s="22" t="n">
        <v>150</v>
      </c>
      <c r="O314" s="25">
        <f>N314*M314</f>
        <v/>
      </c>
      <c r="P314" s="23" t="n">
        <v>7500</v>
      </c>
    </row>
    <row r="315">
      <c r="D315" s="5" t="n">
        <v>232</v>
      </c>
      <c r="E315" s="5" t="n">
        <v>232</v>
      </c>
      <c r="F315" s="5" t="inlineStr">
        <is>
          <t>أعمال تمديدات صحية للخزان الارضى</t>
        </is>
      </c>
      <c r="G315" s="5" t="inlineStr">
        <is>
          <t>أعمال ميكانيك 22</t>
        </is>
      </c>
      <c r="H315" s="5" t="inlineStr">
        <is>
          <t>تمديدات صحية للخزان الارضى (خزان الصرف الصحي)من مواسير UPVC و يشمل العمل مواسير التهوية و سلم معدنى وكل ما يلزم</t>
        </is>
      </c>
      <c r="I315" s="11" t="inlineStr">
        <is>
          <t>نعم</t>
        </is>
      </c>
      <c r="J315" s="11" t="n">
        <v>2065</v>
      </c>
      <c r="K315" s="11" t="inlineStr">
        <is>
          <t>لا يوجد مرفقات</t>
        </is>
      </c>
      <c r="L315" s="11" t="inlineStr">
        <is>
          <t>مط</t>
        </is>
      </c>
      <c r="M315" s="11" t="n">
        <v>10</v>
      </c>
      <c r="N315" s="22" t="n">
        <v>250</v>
      </c>
      <c r="O315" s="25">
        <f>N315*M315</f>
        <v/>
      </c>
      <c r="P315" s="23" t="n">
        <v>2500</v>
      </c>
    </row>
    <row r="316">
      <c r="D316" s="5" t="n">
        <v>233</v>
      </c>
      <c r="E316" s="5" t="n">
        <v>233</v>
      </c>
      <c r="F316" s="5" t="inlineStr">
        <is>
          <t>تركيب فتحات الدخول</t>
        </is>
      </c>
      <c r="G316" s="5" t="inlineStr">
        <is>
          <t>أعمال ميكانيك 23</t>
        </is>
      </c>
      <c r="H316" s="5" t="inlineStr">
        <is>
          <t>فتحات الدخول ، وغطاء من حديد الزهر والإطار الخاص به وكل ما يلزم من اعمال حسب المخططات وتعليمات المهندس المشرف مما جميعه للخزانات المياة و الصرف الصحي و غرفة المضخات</t>
        </is>
      </c>
      <c r="I316" s="11" t="inlineStr">
        <is>
          <t>نعم</t>
        </is>
      </c>
      <c r="J316" s="11" t="n">
        <v>2068</v>
      </c>
      <c r="K316" s="11" t="inlineStr">
        <is>
          <t>لا يوجد مرفقات</t>
        </is>
      </c>
      <c r="L316" s="11" t="inlineStr">
        <is>
          <t>عدد</t>
        </is>
      </c>
      <c r="M316" s="11" t="n">
        <v>2</v>
      </c>
      <c r="N316" s="22" t="n">
        <v>2500</v>
      </c>
      <c r="O316" s="25">
        <f>N316*M316</f>
        <v/>
      </c>
      <c r="P316" s="23" t="n">
        <v>5000</v>
      </c>
    </row>
    <row r="317" ht="34.8" customHeight="1">
      <c r="D317" s="5" t="n">
        <v>234</v>
      </c>
      <c r="E317" s="5" t="n">
        <v>234</v>
      </c>
      <c r="F317" s="5" t="inlineStr">
        <is>
          <t>مبنى الحراسة تركيب ستارة من الهواء</t>
        </is>
      </c>
      <c r="G317" s="5" t="inlineStr">
        <is>
          <t>أعمال ميكانيك 24</t>
        </is>
      </c>
      <c r="H317" s="5" t="inlineStr">
        <is>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is>
      </c>
      <c r="I317" s="11" t="inlineStr">
        <is>
          <t>نعم</t>
        </is>
      </c>
      <c r="J317" s="11" t="n">
        <v>2063</v>
      </c>
      <c r="K317" s="11" t="inlineStr">
        <is>
          <t>لا يوجد مرفقا</t>
        </is>
      </c>
      <c r="L317" s="11" t="inlineStr">
        <is>
          <t>عدد</t>
        </is>
      </c>
      <c r="M317" s="11" t="n">
        <v>3</v>
      </c>
      <c r="N317" s="22" t="n">
        <v>9000</v>
      </c>
      <c r="O317" s="25">
        <f>N317*M317</f>
        <v/>
      </c>
      <c r="P317" s="23" t="n">
        <v>27000</v>
      </c>
    </row>
    <row r="318">
      <c r="D318" s="4" t="inlineStr">
        <is>
          <t>رقم التسلسلي</t>
        </is>
      </c>
      <c r="E318" s="4" t="inlineStr">
        <is>
          <t>الفئة</t>
        </is>
      </c>
      <c r="F318" s="4" t="inlineStr">
        <is>
          <t>البند</t>
        </is>
      </c>
      <c r="G318" s="4" t="inlineStr">
        <is>
          <t>وصف البند</t>
        </is>
      </c>
      <c r="H318" s="4" t="inlineStr">
        <is>
          <t>المواصفات</t>
        </is>
      </c>
      <c r="I318" s="9" t="inlineStr">
        <is>
          <t>منتج من القائمة الإلزامية</t>
        </is>
      </c>
      <c r="J318" s="9" t="inlineStr">
        <is>
          <t>الرمز الإنشائي</t>
        </is>
      </c>
      <c r="K318" s="9" t="inlineStr">
        <is>
          <t>مرفقات</t>
        </is>
      </c>
      <c r="L318" s="9" t="inlineStr">
        <is>
          <t>وحدة القياس</t>
        </is>
      </c>
      <c r="M318" s="9" t="inlineStr">
        <is>
          <t>الكمية</t>
        </is>
      </c>
      <c r="N318" s="20" t="inlineStr">
        <is>
          <t>سعر الوحدة</t>
        </is>
      </c>
      <c r="O318" s="20" t="inlineStr">
        <is>
          <t>الإجمالي</t>
        </is>
      </c>
      <c r="P318" s="13" t="n"/>
    </row>
    <row r="319">
      <c r="D319" s="21" t="n"/>
      <c r="E319" s="21" t="n"/>
      <c r="F319" s="21" t="n"/>
      <c r="G319" s="21" t="n"/>
      <c r="H319" s="21" t="n"/>
      <c r="I319" s="21" t="n"/>
      <c r="J319" s="21" t="n"/>
      <c r="K319" s="21" t="n"/>
      <c r="L319" s="21" t="n"/>
      <c r="M319" s="21" t="n"/>
      <c r="N319" s="21" t="n"/>
      <c r="O319" s="21" t="n"/>
      <c r="P319" s="13" t="n"/>
    </row>
    <row r="320" ht="69.59999999999999" customHeight="1">
      <c r="D320" s="5" t="n">
        <v>235</v>
      </c>
      <c r="E320" s="5" t="n">
        <v>235</v>
      </c>
      <c r="F320" s="5" t="inlineStr">
        <is>
          <t>مبنى الحراسة تركيب وحدة تكيف</t>
        </is>
      </c>
      <c r="G320" s="5" t="inlineStr">
        <is>
          <t>أعمال ميكانيك 25</t>
        </is>
      </c>
      <c r="H320" s="5" t="inlineStr">
        <is>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is>
      </c>
      <c r="I320" s="11" t="inlineStr">
        <is>
          <t>نعم</t>
        </is>
      </c>
      <c r="J320" s="11" t="n">
        <v>2068</v>
      </c>
      <c r="K320" s="11" t="inlineStr">
        <is>
          <t>لا يوجد مرفقات</t>
        </is>
      </c>
      <c r="L320" s="11" t="inlineStr">
        <is>
          <t>عدد</t>
        </is>
      </c>
      <c r="M320" s="11" t="n">
        <v>3</v>
      </c>
      <c r="N320" s="22" t="n">
        <v>6000</v>
      </c>
      <c r="O320" s="25">
        <f>N320*M320</f>
        <v/>
      </c>
      <c r="P320" s="23" t="n">
        <v>18000</v>
      </c>
    </row>
    <row r="321" ht="34.8" customHeight="1">
      <c r="D321" s="5" t="n">
        <v>236</v>
      </c>
      <c r="E321" s="5" t="n">
        <v>236</v>
      </c>
      <c r="F321" s="5" t="inlineStr">
        <is>
          <t>مبنى الحراسة تركيب مغاسل</t>
        </is>
      </c>
      <c r="G321" s="5" t="inlineStr">
        <is>
          <t>أعمال ميكانيك 26</t>
        </is>
      </c>
      <c r="H321" s="5" t="inlineStr">
        <is>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is>
      </c>
      <c r="I321" s="11" t="inlineStr">
        <is>
          <t>نعم</t>
        </is>
      </c>
      <c r="J321" s="11" t="n">
        <v>2058</v>
      </c>
      <c r="K321" s="11" t="inlineStr">
        <is>
          <t>لا يوجد مرفقات</t>
        </is>
      </c>
      <c r="L321" s="11" t="inlineStr">
        <is>
          <t>عدد</t>
        </is>
      </c>
      <c r="M321" s="11" t="n">
        <v>1</v>
      </c>
      <c r="N321" s="22" t="n">
        <v>700</v>
      </c>
      <c r="O321" s="25">
        <f>N321*M321</f>
        <v/>
      </c>
      <c r="P321" s="23" t="n">
        <v>700</v>
      </c>
    </row>
    <row r="322" ht="34.8" customHeight="1">
      <c r="D322" s="5" t="n">
        <v>237</v>
      </c>
      <c r="E322" s="5" t="n">
        <v>237</v>
      </c>
      <c r="F322" s="5" t="inlineStr">
        <is>
          <t>مبنى الحراسة تركيب كرسي مرحاض افرنجى</t>
        </is>
      </c>
      <c r="G322" s="5" t="inlineStr">
        <is>
          <t>أعمال ميكانيك 27</t>
        </is>
      </c>
      <c r="H322" s="5" t="inlineStr">
        <is>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is>
      </c>
      <c r="I322" s="11" t="inlineStr">
        <is>
          <t>نعم</t>
        </is>
      </c>
      <c r="J322" s="11" t="n">
        <v>2058</v>
      </c>
      <c r="K322" s="11" t="inlineStr">
        <is>
          <t>لا يوجد مرفقات</t>
        </is>
      </c>
      <c r="L322" s="11" t="inlineStr">
        <is>
          <t>عدد</t>
        </is>
      </c>
      <c r="M322" s="11" t="n">
        <v>1</v>
      </c>
      <c r="N322" s="22" t="n">
        <v>700</v>
      </c>
      <c r="O322" s="25">
        <f>N322*M322</f>
        <v/>
      </c>
      <c r="P322" s="23" t="n">
        <v>700</v>
      </c>
    </row>
    <row r="323">
      <c r="D323" s="5" t="n">
        <v>238</v>
      </c>
      <c r="E323" s="5" t="n">
        <v>238</v>
      </c>
      <c r="F323" s="5" t="inlineStr">
        <is>
          <t>مبنى الحراسة تركيب حامل مناديل ورقية</t>
        </is>
      </c>
      <c r="G323" s="5" t="inlineStr">
        <is>
          <t>أعمال ميكانيك 28</t>
        </is>
      </c>
      <c r="H323" s="5" t="inlineStr">
        <is>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is>
      </c>
      <c r="I323" s="11" t="inlineStr">
        <is>
          <t>نعم</t>
        </is>
      </c>
      <c r="J323" s="11" t="n">
        <v>2058</v>
      </c>
      <c r="K323" s="11" t="inlineStr">
        <is>
          <t>لا يوجد مرفقات</t>
        </is>
      </c>
      <c r="L323" s="11" t="inlineStr">
        <is>
          <t>عدد</t>
        </is>
      </c>
      <c r="M323" s="11" t="n">
        <v>1</v>
      </c>
      <c r="N323" s="22" t="n">
        <v>250</v>
      </c>
      <c r="O323" s="25">
        <f>N323*M323</f>
        <v/>
      </c>
      <c r="P323" s="23" t="n">
        <v>250</v>
      </c>
    </row>
    <row r="324" ht="52.2" customHeight="1">
      <c r="D324" s="5" t="n">
        <v>239</v>
      </c>
      <c r="E324" s="5" t="n">
        <v>239</v>
      </c>
      <c r="F324" s="5" t="inlineStr">
        <is>
          <t>مبنى الحراسة تركيب انابيب بلاستيك 110مم</t>
        </is>
      </c>
      <c r="G324" s="5" t="inlineStr">
        <is>
          <t>أعمال ميكانيك 29</t>
        </is>
      </c>
      <c r="H324" s="5" t="inlineStr">
        <is>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is>
      </c>
      <c r="I324" s="11" t="inlineStr">
        <is>
          <t>نعم</t>
        </is>
      </c>
      <c r="J324" s="11" t="n">
        <v>2066</v>
      </c>
      <c r="K324" s="11" t="inlineStr">
        <is>
          <t>لا يوجد مرفقات</t>
        </is>
      </c>
      <c r="L324" s="11" t="inlineStr">
        <is>
          <t>مط</t>
        </is>
      </c>
      <c r="M324" s="11" t="n">
        <v>20</v>
      </c>
      <c r="N324" s="22" t="n">
        <v>160</v>
      </c>
      <c r="O324" s="25">
        <f>N324*M324</f>
        <v/>
      </c>
      <c r="P324" s="23" t="n">
        <v>3200</v>
      </c>
    </row>
    <row r="325">
      <c r="D325" s="5" t="n">
        <v>240</v>
      </c>
      <c r="E325" s="5" t="n">
        <v>240</v>
      </c>
      <c r="F325" s="5" t="inlineStr">
        <is>
          <t>مبنى الحراسة تركيب انابيب بلاستيك 75مم</t>
        </is>
      </c>
      <c r="G325" s="5" t="inlineStr">
        <is>
          <t>أعمال ميكانيك 30</t>
        </is>
      </c>
      <c r="H325" s="5" t="inlineStr">
        <is>
          <t>كالبند السابق , أنابيب UPVC قطر 75 مم - درجة 4</t>
        </is>
      </c>
      <c r="I325" s="11" t="inlineStr">
        <is>
          <t>نعم</t>
        </is>
      </c>
      <c r="J325" s="11" t="n">
        <v>2066</v>
      </c>
      <c r="K325" s="11" t="inlineStr">
        <is>
          <t>لا يوجد مرفقات</t>
        </is>
      </c>
      <c r="L325" s="11" t="inlineStr">
        <is>
          <t>مط</t>
        </is>
      </c>
      <c r="M325" s="11" t="n">
        <v>15</v>
      </c>
      <c r="N325" s="22" t="n">
        <v>120</v>
      </c>
      <c r="O325" s="25">
        <f>N325*M325</f>
        <v/>
      </c>
      <c r="P325" s="23" t="n">
        <v>1800</v>
      </c>
    </row>
    <row r="326">
      <c r="D326" s="4" t="inlineStr">
        <is>
          <t>الرقم التسلسلي</t>
        </is>
      </c>
      <c r="E326" s="4" t="inlineStr">
        <is>
          <t>الفئة</t>
        </is>
      </c>
      <c r="F326" s="4" t="inlineStr">
        <is>
          <t>البند</t>
        </is>
      </c>
      <c r="G326" s="4" t="inlineStr">
        <is>
          <t>وصف البند</t>
        </is>
      </c>
      <c r="H326" s="4" t="inlineStr">
        <is>
          <t>المواصفات</t>
        </is>
      </c>
      <c r="I326" s="9" t="inlineStr">
        <is>
          <t>منتج من القائمة الإلزامية</t>
        </is>
      </c>
      <c r="J326" s="9" t="inlineStr">
        <is>
          <t>الرمز الإنشائي</t>
        </is>
      </c>
      <c r="K326" s="9" t="inlineStr">
        <is>
          <t>مرفقات</t>
        </is>
      </c>
      <c r="L326" s="9" t="inlineStr">
        <is>
          <t>وحدة القياس</t>
        </is>
      </c>
      <c r="M326" s="9" t="inlineStr">
        <is>
          <t>الكمية</t>
        </is>
      </c>
      <c r="N326" s="20" t="inlineStr">
        <is>
          <t>سعر الوحدة</t>
        </is>
      </c>
      <c r="O326" s="20" t="inlineStr">
        <is>
          <t>الإجمالي</t>
        </is>
      </c>
      <c r="P326" s="13" t="n"/>
    </row>
    <row r="327">
      <c r="D327" s="21" t="n"/>
      <c r="E327" s="21" t="n"/>
      <c r="F327" s="21" t="n"/>
      <c r="G327" s="21" t="n"/>
      <c r="H327" s="21" t="n"/>
      <c r="I327" s="21" t="n"/>
      <c r="J327" s="21" t="n"/>
      <c r="K327" s="21" t="n"/>
      <c r="L327" s="21" t="n"/>
      <c r="M327" s="21" t="n"/>
      <c r="N327" s="21" t="n"/>
      <c r="O327" s="21" t="n"/>
      <c r="P327" s="13" t="n"/>
    </row>
    <row r="328">
      <c r="D328" s="5" t="n">
        <v>241</v>
      </c>
      <c r="E328" s="5" t="n">
        <v>241</v>
      </c>
      <c r="F328" s="5" t="inlineStr">
        <is>
          <t>مبنى الحراسة تركيب انابيب بلاستيك 50مم</t>
        </is>
      </c>
      <c r="G328" s="5" t="inlineStr">
        <is>
          <t>أعمال ميكانيك 31</t>
        </is>
      </c>
      <c r="H328" s="5" t="inlineStr">
        <is>
          <t>كالبند السابق , أنابيب UPVC قطر 50 مم - درجة 4</t>
        </is>
      </c>
      <c r="I328" s="11" t="inlineStr">
        <is>
          <t>نعم</t>
        </is>
      </c>
      <c r="J328" s="11" t="n">
        <v>2066</v>
      </c>
      <c r="K328" s="11" t="inlineStr">
        <is>
          <t>لا يوجد مرفقات</t>
        </is>
      </c>
      <c r="L328" s="11" t="inlineStr">
        <is>
          <t>مط</t>
        </is>
      </c>
      <c r="M328" s="11" t="n">
        <v>2</v>
      </c>
      <c r="N328" s="22" t="n">
        <v>70</v>
      </c>
      <c r="O328" s="25">
        <f>N328*M328</f>
        <v/>
      </c>
      <c r="P328" s="23" t="n">
        <v>140</v>
      </c>
    </row>
    <row r="329">
      <c r="D329" s="5" t="n">
        <v>242</v>
      </c>
      <c r="E329" s="5" t="n">
        <v>242</v>
      </c>
      <c r="F329" s="5" t="inlineStr">
        <is>
          <t>مبنى الحراسة تركيب انابيب بلاستيك 25مم</t>
        </is>
      </c>
      <c r="G329" s="5" t="inlineStr">
        <is>
          <t>أعمال ميكانيك 32</t>
        </is>
      </c>
      <c r="H329" s="5" t="inlineStr">
        <is>
          <t>كالبند السابق , أنابيب UPVC قطر 25 مم - درجة 4</t>
        </is>
      </c>
      <c r="I329" s="11" t="inlineStr">
        <is>
          <t>نعم</t>
        </is>
      </c>
      <c r="J329" s="11" t="n">
        <v>2066</v>
      </c>
      <c r="K329" s="11" t="inlineStr">
        <is>
          <t>لا يوجد مرفقات</t>
        </is>
      </c>
      <c r="L329" s="11" t="inlineStr">
        <is>
          <t>مط</t>
        </is>
      </c>
      <c r="M329" s="11" t="n">
        <v>5</v>
      </c>
      <c r="N329" s="22" t="n">
        <v>40</v>
      </c>
      <c r="O329" s="25">
        <f>N329*M329</f>
        <v/>
      </c>
      <c r="P329" s="23" t="n">
        <v>200</v>
      </c>
    </row>
    <row r="330" ht="34.8" customHeight="1">
      <c r="D330" s="5" t="n">
        <v>243</v>
      </c>
      <c r="E330" s="5" t="n">
        <v>243</v>
      </c>
      <c r="F330" s="5" t="inlineStr">
        <is>
          <t>مبنى الحراسة تركيب صفيات مياه امطار</t>
        </is>
      </c>
      <c r="G330" s="5" t="inlineStr">
        <is>
          <t>أعمال ميكانيك 33</t>
        </is>
      </c>
      <c r="H330" s="5" t="inlineStr">
        <is>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is>
      </c>
      <c r="I330" s="11" t="inlineStr">
        <is>
          <t>نعم</t>
        </is>
      </c>
      <c r="J330" s="11" t="n">
        <v>2058</v>
      </c>
      <c r="K330" s="11" t="inlineStr">
        <is>
          <t>لا يوجد مرفقات</t>
        </is>
      </c>
      <c r="L330" s="11" t="inlineStr">
        <is>
          <t>عدد</t>
        </is>
      </c>
      <c r="M330" s="11" t="n">
        <v>1</v>
      </c>
      <c r="N330" s="22" t="n">
        <v>700</v>
      </c>
      <c r="O330" s="25">
        <f>N330*M330</f>
        <v/>
      </c>
      <c r="P330" s="23" t="n">
        <v>700</v>
      </c>
    </row>
    <row r="331" ht="34.8" customHeight="1">
      <c r="D331" s="5" t="n">
        <v>244</v>
      </c>
      <c r="E331" s="5" t="n">
        <v>244</v>
      </c>
      <c r="F331" s="5" t="inlineStr">
        <is>
          <t>مبنى الحراسة تركيب صفايات ارضية</t>
        </is>
      </c>
      <c r="G331" s="5" t="inlineStr">
        <is>
          <t>أعمال ميكانيك 34</t>
        </is>
      </c>
      <c r="H331" s="5" t="inlineStr">
        <is>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is>
      </c>
      <c r="I331" s="11" t="inlineStr">
        <is>
          <t>نعم</t>
        </is>
      </c>
      <c r="J331" s="11" t="n">
        <v>2058</v>
      </c>
      <c r="K331" s="11" t="inlineStr">
        <is>
          <t>لا يوجد مرفقات</t>
        </is>
      </c>
      <c r="L331" s="11" t="inlineStr">
        <is>
          <t>عدد</t>
        </is>
      </c>
      <c r="M331" s="11" t="n">
        <v>1</v>
      </c>
      <c r="N331" s="22" t="n">
        <v>400</v>
      </c>
      <c r="O331" s="25">
        <f>N331*M331</f>
        <v/>
      </c>
      <c r="P331" s="23" t="n">
        <v>400</v>
      </c>
    </row>
    <row r="332">
      <c r="D332" s="5" t="n">
        <v>245</v>
      </c>
      <c r="E332" s="5" t="n">
        <v>245</v>
      </c>
      <c r="F332" s="5" t="inlineStr">
        <is>
          <t>مبنى الحراسة تركيب طبات تسليك 75 مم</t>
        </is>
      </c>
      <c r="G332" s="5" t="inlineStr">
        <is>
          <t>أعمال ميكانيك 35</t>
        </is>
      </c>
      <c r="H332" s="5" t="inlineStr">
        <is>
          <t>بالعدد توريد وتركيب وتشغيل واختبار طبات تسليك أرضية قطر 75مم ذات غطاء من الأستانلس ستييل طبقا للمواصفات والمخططات وأعتماد المهندس المشرف</t>
        </is>
      </c>
      <c r="I332" s="11" t="inlineStr">
        <is>
          <t>نعم</t>
        </is>
      </c>
      <c r="J332" s="11" t="n">
        <v>2058</v>
      </c>
      <c r="K332" s="11" t="inlineStr">
        <is>
          <t>لا يوجد مرفقات</t>
        </is>
      </c>
      <c r="L332" s="11" t="inlineStr">
        <is>
          <t>عدد</t>
        </is>
      </c>
      <c r="M332" s="11" t="n">
        <v>1</v>
      </c>
      <c r="N332" s="22" t="n">
        <v>400</v>
      </c>
      <c r="O332" s="25">
        <f>N332*M332</f>
        <v/>
      </c>
      <c r="P332" s="23" t="n">
        <v>400</v>
      </c>
    </row>
    <row r="333">
      <c r="D333" s="5" t="n">
        <v>246</v>
      </c>
      <c r="E333" s="5" t="n">
        <v>246</v>
      </c>
      <c r="F333" s="5" t="inlineStr">
        <is>
          <t>مبنى الحراسة تركيب طبات تسليك 110 مم</t>
        </is>
      </c>
      <c r="G333" s="5" t="inlineStr">
        <is>
          <t>أعمال ميكانيك 36</t>
        </is>
      </c>
      <c r="H333" s="5" t="inlineStr">
        <is>
          <t>كالبند السابق طبة تسليك قطر 110مم</t>
        </is>
      </c>
      <c r="I333" s="11" t="inlineStr">
        <is>
          <t>نعم</t>
        </is>
      </c>
      <c r="J333" s="11" t="n">
        <v>2058</v>
      </c>
      <c r="K333" s="11" t="inlineStr">
        <is>
          <t>لا يوجد مرفقات</t>
        </is>
      </c>
      <c r="L333" s="11" t="inlineStr">
        <is>
          <t>عدد</t>
        </is>
      </c>
      <c r="M333" s="11" t="n">
        <v>1</v>
      </c>
      <c r="N333" s="22" t="n">
        <v>400</v>
      </c>
      <c r="O333" s="25">
        <f>N333*M333</f>
        <v/>
      </c>
      <c r="P333" s="23" t="n">
        <v>400</v>
      </c>
    </row>
    <row r="334">
      <c r="D334" s="4" t="inlineStr">
        <is>
          <t>الرقم التسلسلي</t>
        </is>
      </c>
      <c r="E334" s="4" t="inlineStr">
        <is>
          <t>الفئة</t>
        </is>
      </c>
      <c r="F334" s="4" t="inlineStr">
        <is>
          <t>البند</t>
        </is>
      </c>
      <c r="G334" s="4" t="inlineStr">
        <is>
          <t>وصف البند</t>
        </is>
      </c>
      <c r="H334" s="4" t="inlineStr">
        <is>
          <t>المواصفات</t>
        </is>
      </c>
      <c r="I334" s="9" t="inlineStr">
        <is>
          <t>منتج من القائمة الإلزامية</t>
        </is>
      </c>
      <c r="J334" s="9" t="inlineStr">
        <is>
          <t>الرمز الإنشائي</t>
        </is>
      </c>
      <c r="K334" s="9" t="inlineStr">
        <is>
          <t>مرفقات</t>
        </is>
      </c>
      <c r="L334" s="9" t="inlineStr">
        <is>
          <t>وحدة القياس</t>
        </is>
      </c>
      <c r="M334" s="9" t="inlineStr">
        <is>
          <t>الكمية</t>
        </is>
      </c>
      <c r="N334" s="20" t="inlineStr">
        <is>
          <t>سعر الوحدة</t>
        </is>
      </c>
      <c r="O334" s="20" t="inlineStr">
        <is>
          <t>الإجمالي</t>
        </is>
      </c>
      <c r="P334" s="13" t="n"/>
    </row>
    <row r="335">
      <c r="D335" s="21" t="n"/>
      <c r="E335" s="21" t="n"/>
      <c r="F335" s="21" t="n"/>
      <c r="G335" s="21" t="n"/>
      <c r="H335" s="21" t="n"/>
      <c r="I335" s="21" t="n"/>
      <c r="J335" s="21" t="n"/>
      <c r="K335" s="21" t="n"/>
      <c r="L335" s="21" t="n"/>
      <c r="M335" s="21" t="n"/>
      <c r="N335" s="21" t="n"/>
      <c r="O335" s="21" t="n"/>
      <c r="P335" s="13" t="n"/>
    </row>
    <row r="336" ht="52.2" customHeight="1">
      <c r="D336" s="5" t="n">
        <v>247</v>
      </c>
      <c r="E336" s="5" t="n">
        <v>247</v>
      </c>
      <c r="F336" s="5" t="inlineStr">
        <is>
          <t>مبنى الحراسة تركيب انابيب بلاستيك 25 مم</t>
        </is>
      </c>
      <c r="G336" s="5" t="inlineStr">
        <is>
          <t>أعمال ميكانيك 37</t>
        </is>
      </c>
      <c r="H336" s="5" t="inlineStr">
        <is>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is>
      </c>
      <c r="I336" s="11" t="inlineStr">
        <is>
          <t>نعم</t>
        </is>
      </c>
      <c r="J336" s="11" t="n">
        <v>2066</v>
      </c>
      <c r="K336" s="11" t="inlineStr">
        <is>
          <t>لا يوجد مرفقات</t>
        </is>
      </c>
      <c r="L336" s="11" t="inlineStr">
        <is>
          <t>مط</t>
        </is>
      </c>
      <c r="M336" s="11" t="n">
        <v>15</v>
      </c>
      <c r="N336" s="22" t="n">
        <v>40</v>
      </c>
      <c r="O336" s="25">
        <f>N336*M336</f>
        <v/>
      </c>
      <c r="P336" s="23" t="n">
        <v>600</v>
      </c>
    </row>
    <row r="337">
      <c r="D337" s="5" t="n">
        <v>248</v>
      </c>
      <c r="E337" s="5" t="n">
        <v>248</v>
      </c>
      <c r="F337" s="5" t="inlineStr">
        <is>
          <t>مبنى الحراسة تركيب انابيب بلاستيك 20 مم</t>
        </is>
      </c>
      <c r="G337" s="5" t="inlineStr">
        <is>
          <t>أعمال ميكانيك 38</t>
        </is>
      </c>
      <c r="H337" s="5" t="inlineStr">
        <is>
          <t>كالبند السابق , مواسير PP قطر 20 مم</t>
        </is>
      </c>
      <c r="I337" s="11" t="inlineStr">
        <is>
          <t>نعم</t>
        </is>
      </c>
      <c r="J337" s="11" t="n">
        <v>2066</v>
      </c>
      <c r="K337" s="11" t="inlineStr">
        <is>
          <t>لا يوجد مرفقات</t>
        </is>
      </c>
      <c r="L337" s="11" t="inlineStr">
        <is>
          <t>مط</t>
        </is>
      </c>
      <c r="M337" s="11" t="n">
        <v>6</v>
      </c>
      <c r="N337" s="22" t="n">
        <v>40</v>
      </c>
      <c r="O337" s="25">
        <f>N337*M337</f>
        <v/>
      </c>
      <c r="P337" s="23" t="n">
        <v>240</v>
      </c>
    </row>
    <row r="338" ht="34.8" customHeight="1">
      <c r="D338" s="5" t="n">
        <v>249</v>
      </c>
      <c r="E338" s="5" t="n">
        <v>249</v>
      </c>
      <c r="F338" s="5" t="inlineStr">
        <is>
          <t>مبنى الحراسة تركيب سخان مياه كهربائى</t>
        </is>
      </c>
      <c r="G338" s="5" t="inlineStr">
        <is>
          <t>أعمال ميكانيك 39</t>
        </is>
      </c>
      <c r="H338" s="5" t="inlineStr">
        <is>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is>
      </c>
      <c r="I338" s="11" t="inlineStr">
        <is>
          <t>نعم</t>
        </is>
      </c>
      <c r="J338" s="11" t="n">
        <v>2063</v>
      </c>
      <c r="K338" s="11" t="inlineStr">
        <is>
          <t>لا يوجد مرفقات</t>
        </is>
      </c>
      <c r="L338" s="11" t="inlineStr">
        <is>
          <t>عدد</t>
        </is>
      </c>
      <c r="M338" s="11" t="n">
        <v>1</v>
      </c>
      <c r="N338" s="22" t="n">
        <v>600</v>
      </c>
      <c r="O338" s="25">
        <f>N338*M338</f>
        <v/>
      </c>
      <c r="P338" s="23" t="n">
        <v>600</v>
      </c>
    </row>
    <row r="339" ht="69.59999999999999" customHeight="1">
      <c r="D339" s="5" t="n">
        <v>250</v>
      </c>
      <c r="E339" s="5" t="n">
        <v>250</v>
      </c>
      <c r="F339" s="5" t="inlineStr">
        <is>
          <t>مبنى الحراسة تركيب خزان علوى</t>
        </is>
      </c>
      <c r="G339" s="5" t="inlineStr">
        <is>
          <t>أعمال ميكانيك 40</t>
        </is>
      </c>
      <c r="H339" s="5" t="inlineStr">
        <is>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is>
      </c>
      <c r="I339" s="11" t="inlineStr">
        <is>
          <t>نعم</t>
        </is>
      </c>
      <c r="J339" s="11" t="n">
        <v>2067</v>
      </c>
      <c r="K339" s="11" t="inlineStr">
        <is>
          <t>لا يوجد مرفقات</t>
        </is>
      </c>
      <c r="L339" s="11" t="inlineStr">
        <is>
          <t>عدد</t>
        </is>
      </c>
      <c r="M339" s="11" t="n">
        <v>2</v>
      </c>
      <c r="N339" s="22" t="n">
        <v>4000</v>
      </c>
      <c r="O339" s="25">
        <f>N339*M339</f>
        <v/>
      </c>
      <c r="P339" s="23" t="n">
        <v>8000</v>
      </c>
    </row>
    <row r="340">
      <c r="D340" s="5" t="n">
        <v>251</v>
      </c>
      <c r="E340" s="5" t="n">
        <v>251</v>
      </c>
      <c r="F340" s="5" t="inlineStr">
        <is>
          <t>مبنى الحراسة تركيب محابس</t>
        </is>
      </c>
      <c r="G340" s="5" t="inlineStr">
        <is>
          <t>أعمال ميكانيك 41</t>
        </is>
      </c>
      <c r="H340" s="5" t="inlineStr">
        <is>
          <t>بالعدد توريد وتركيب محابس من أجود الأنواع عند مداخل المياه لكل حمام أو مطبخ وذلك بقطر 25ملم</t>
        </is>
      </c>
      <c r="I340" s="11" t="inlineStr">
        <is>
          <t>نعم</t>
        </is>
      </c>
      <c r="J340" s="11" t="n">
        <v>2058</v>
      </c>
      <c r="K340" s="11" t="inlineStr">
        <is>
          <t>لا يوجد مرفقات</t>
        </is>
      </c>
      <c r="L340" s="11" t="inlineStr">
        <is>
          <t>عدد</t>
        </is>
      </c>
      <c r="M340" s="11" t="n">
        <v>1</v>
      </c>
      <c r="N340" s="22" t="n">
        <v>400</v>
      </c>
      <c r="O340" s="25">
        <f>N340*M340</f>
        <v/>
      </c>
      <c r="P340" s="23" t="n">
        <v>400</v>
      </c>
    </row>
    <row r="341">
      <c r="D341" s="5" t="n">
        <v>252</v>
      </c>
      <c r="E341" s="5" t="n">
        <v>252</v>
      </c>
      <c r="F341" s="5" t="inlineStr">
        <is>
          <t>مبنى الحراسة تركيب مانع للمطرقة المائية</t>
        </is>
      </c>
      <c r="G341" s="5" t="inlineStr">
        <is>
          <t>أعمال ميكانيك 42</t>
        </is>
      </c>
      <c r="H341" s="5" t="inlineStr">
        <is>
          <t>مانع للمطرقة المائية WHA</t>
        </is>
      </c>
      <c r="I341" s="11" t="inlineStr">
        <is>
          <t>لا</t>
        </is>
      </c>
      <c r="J341" s="11" t="n"/>
      <c r="K341" s="11" t="inlineStr">
        <is>
          <t>لا يوجد مرفقات</t>
        </is>
      </c>
      <c r="L341" s="11" t="inlineStr">
        <is>
          <t>عدد</t>
        </is>
      </c>
      <c r="M341" s="11" t="n">
        <v>2</v>
      </c>
      <c r="N341" s="22" t="n">
        <v>400</v>
      </c>
      <c r="O341" s="25">
        <f>N341*M341</f>
        <v/>
      </c>
      <c r="P341" s="23" t="n">
        <v>800</v>
      </c>
    </row>
    <row r="342">
      <c r="D342" s="4" t="inlineStr">
        <is>
          <t>الرقم التسلسلي</t>
        </is>
      </c>
      <c r="E342" s="4" t="inlineStr">
        <is>
          <t>الفئة</t>
        </is>
      </c>
      <c r="F342" s="4" t="inlineStr">
        <is>
          <t>البند</t>
        </is>
      </c>
      <c r="G342" s="4" t="inlineStr">
        <is>
          <t>وصف البند</t>
        </is>
      </c>
      <c r="H342" s="4" t="inlineStr">
        <is>
          <t>المواصفات</t>
        </is>
      </c>
      <c r="I342" s="9" t="inlineStr">
        <is>
          <t>منتج من القائمة الإلزامية</t>
        </is>
      </c>
      <c r="J342" s="9" t="inlineStr">
        <is>
          <t>الرمز الإنشائي</t>
        </is>
      </c>
      <c r="K342" s="9" t="inlineStr">
        <is>
          <t>مرفقات</t>
        </is>
      </c>
      <c r="L342" s="9" t="inlineStr">
        <is>
          <t>وحدة القياس</t>
        </is>
      </c>
      <c r="M342" s="9" t="inlineStr">
        <is>
          <t>الكمية</t>
        </is>
      </c>
      <c r="N342" s="20" t="inlineStr">
        <is>
          <t>سعر الوحدة</t>
        </is>
      </c>
      <c r="O342" s="20" t="inlineStr">
        <is>
          <t>الإجمالي</t>
        </is>
      </c>
      <c r="P342" s="13" t="n"/>
    </row>
    <row r="343">
      <c r="D343" s="21" t="n"/>
      <c r="E343" s="21" t="n"/>
      <c r="F343" s="21" t="n"/>
      <c r="G343" s="21" t="n"/>
      <c r="H343" s="21" t="n"/>
      <c r="I343" s="21" t="n"/>
      <c r="J343" s="21" t="n"/>
      <c r="K343" s="21" t="n"/>
      <c r="L343" s="21" t="n"/>
      <c r="M343" s="21" t="n"/>
      <c r="N343" s="21" t="n"/>
      <c r="O343" s="21" t="n"/>
      <c r="P343" s="13" t="n"/>
    </row>
    <row r="344" ht="87" customHeight="1">
      <c r="D344" s="5" t="n">
        <v>253</v>
      </c>
      <c r="E344" s="5" t="n">
        <v>253</v>
      </c>
      <c r="F344" s="5" t="inlineStr">
        <is>
          <t>مبنى الحراسة اعمال مكافحة الحريق</t>
        </is>
      </c>
      <c r="G344" s="5" t="inlineStr">
        <is>
          <t>أعمال ميكانيك 43</t>
        </is>
      </c>
      <c r="H344" s="5" t="inlineStr">
        <is>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is>
      </c>
      <c r="I344" s="11" t="inlineStr">
        <is>
          <t>لا</t>
        </is>
      </c>
      <c r="J344" s="11" t="n"/>
      <c r="K344" s="11" t="inlineStr">
        <is>
          <t>لا يوجد مرفقات</t>
        </is>
      </c>
      <c r="L344" s="11" t="inlineStr">
        <is>
          <t>عدد</t>
        </is>
      </c>
      <c r="M344" s="11" t="n">
        <v>1</v>
      </c>
      <c r="N344" s="22" t="n">
        <v>900</v>
      </c>
      <c r="O344" s="25">
        <f>N344*M344</f>
        <v/>
      </c>
      <c r="P344" s="23" t="n">
        <v>900</v>
      </c>
    </row>
    <row r="345" ht="34.8" customHeight="1">
      <c r="D345" s="5" t="n">
        <v>254</v>
      </c>
      <c r="E345" s="5" t="n">
        <v>254</v>
      </c>
      <c r="F345" s="5" t="inlineStr">
        <is>
          <t>غرف الكهرباء تركيب مروحه شفط هواء 400 لتر</t>
        </is>
      </c>
      <c r="G345" s="5" t="inlineStr">
        <is>
          <t>أعمال ميكانيك 44</t>
        </is>
      </c>
      <c r="H345" s="5" t="inlineStr">
        <is>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is>
      </c>
      <c r="I345" s="11" t="inlineStr">
        <is>
          <t>نعم</t>
        </is>
      </c>
      <c r="J345" s="11" t="n">
        <v>2072</v>
      </c>
      <c r="K345" s="11" t="inlineStr">
        <is>
          <t>لا يوجد مرفقات</t>
        </is>
      </c>
      <c r="L345" s="11" t="inlineStr">
        <is>
          <t>عدد</t>
        </is>
      </c>
      <c r="M345" s="11" t="n">
        <v>3</v>
      </c>
      <c r="N345" s="22" t="n">
        <v>9000</v>
      </c>
      <c r="O345" s="25">
        <f>N345*M345</f>
        <v/>
      </c>
      <c r="P345" s="23" t="n">
        <v>27000</v>
      </c>
    </row>
    <row r="346" ht="34.8" customHeight="1">
      <c r="D346" s="5" t="n">
        <v>255</v>
      </c>
      <c r="E346" s="5" t="n">
        <v>255</v>
      </c>
      <c r="F346" s="5" t="inlineStr">
        <is>
          <t>غرف الكهرباء تركيب مروحه شفط هواء 1700 لتر</t>
        </is>
      </c>
      <c r="G346" s="5" t="inlineStr">
        <is>
          <t>أعمال ميكانيك 45</t>
        </is>
      </c>
      <c r="H346" s="5" t="inlineStr">
        <is>
          <t>كالبند السابق , مروحة شفط بتدفق 1700 لتر/ث</t>
        </is>
      </c>
      <c r="I346" s="11" t="inlineStr">
        <is>
          <t>نعم</t>
        </is>
      </c>
      <c r="J346" s="11" t="n">
        <v>2072</v>
      </c>
      <c r="K346" s="11" t="inlineStr">
        <is>
          <t>لا يوجد مرفقات</t>
        </is>
      </c>
      <c r="L346" s="11" t="inlineStr">
        <is>
          <t>عدد</t>
        </is>
      </c>
      <c r="M346" s="11" t="n">
        <v>1</v>
      </c>
      <c r="N346" s="22" t="n">
        <v>45000</v>
      </c>
      <c r="O346" s="25">
        <f>N346*M346</f>
        <v/>
      </c>
      <c r="P346" s="23" t="n">
        <v>45000</v>
      </c>
    </row>
    <row r="347" ht="34.8" customHeight="1">
      <c r="D347" s="5" t="n">
        <v>256</v>
      </c>
      <c r="E347" s="5" t="n">
        <v>256</v>
      </c>
      <c r="F347" s="5" t="inlineStr">
        <is>
          <t>غرف الكهرباء تركيب فتحات مصيدة الرمال</t>
        </is>
      </c>
      <c r="G347" s="5" t="inlineStr">
        <is>
          <t>أعمال ميكانيك 46</t>
        </is>
      </c>
      <c r="H347" s="5" t="inlineStr">
        <is>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is>
      </c>
      <c r="I347" s="11" t="inlineStr">
        <is>
          <t>لا</t>
        </is>
      </c>
      <c r="J347" s="11" t="n"/>
      <c r="K347" s="11" t="inlineStr">
        <is>
          <t>لا يوجد مرفقات</t>
        </is>
      </c>
      <c r="L347" s="11" t="inlineStr">
        <is>
          <t>عدد</t>
        </is>
      </c>
      <c r="M347" s="11" t="n">
        <v>6</v>
      </c>
      <c r="N347" s="22" t="n">
        <v>1800</v>
      </c>
      <c r="O347" s="25">
        <f>N347*M347</f>
        <v/>
      </c>
      <c r="P347" s="23" t="n">
        <v>10800</v>
      </c>
    </row>
    <row r="348" ht="34.8" customHeight="1">
      <c r="D348" s="5" t="n">
        <v>257</v>
      </c>
      <c r="E348" s="5" t="n">
        <v>257</v>
      </c>
      <c r="F348" s="5" t="inlineStr">
        <is>
          <t>غرف الكهرباء تركيب صفيات امياه امطار جرجورى</t>
        </is>
      </c>
      <c r="G348" s="5" t="inlineStr">
        <is>
          <t>أعمال ميكانيك 47</t>
        </is>
      </c>
      <c r="H348" s="5" t="inlineStr">
        <is>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is>
      </c>
      <c r="I348" s="11" t="inlineStr">
        <is>
          <t>لا</t>
        </is>
      </c>
      <c r="J348" s="11" t="n"/>
      <c r="K348" s="11" t="inlineStr">
        <is>
          <t>لا يوجد مرفقات</t>
        </is>
      </c>
      <c r="L348" s="11" t="inlineStr">
        <is>
          <t>عدد</t>
        </is>
      </c>
      <c r="M348" s="11" t="n">
        <v>2</v>
      </c>
      <c r="N348" s="22" t="n">
        <v>700</v>
      </c>
      <c r="O348" s="25">
        <f>N348*M348</f>
        <v/>
      </c>
      <c r="P348" s="23" t="n">
        <v>1400</v>
      </c>
    </row>
    <row r="349" ht="34.8" customHeight="1">
      <c r="D349" s="5" t="n">
        <v>258</v>
      </c>
      <c r="E349" s="5" t="n">
        <v>258</v>
      </c>
      <c r="F349" s="5" t="inlineStr">
        <is>
          <t>غرف الكهرباء تركيب شبكة مواسير 75مم</t>
        </is>
      </c>
      <c r="G349" s="5" t="inlineStr">
        <is>
          <t>أعمال ميكانيك 48</t>
        </is>
      </c>
      <c r="H349" s="5" t="inlineStr">
        <is>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is>
      </c>
      <c r="I349" s="11" t="inlineStr">
        <is>
          <t>نعم</t>
        </is>
      </c>
      <c r="J349" s="11" t="n">
        <v>2056</v>
      </c>
      <c r="K349" s="11" t="inlineStr">
        <is>
          <t>لا يوجد مرفقات</t>
        </is>
      </c>
      <c r="L349" s="11" t="inlineStr">
        <is>
          <t>مط</t>
        </is>
      </c>
      <c r="M349" s="11" t="n">
        <v>10</v>
      </c>
      <c r="N349" s="22" t="n">
        <v>120</v>
      </c>
      <c r="O349" s="25">
        <f>N349*M349</f>
        <v/>
      </c>
      <c r="P349" s="23" t="n">
        <v>1200</v>
      </c>
    </row>
    <row r="350">
      <c r="D350" s="4" t="inlineStr">
        <is>
          <t>الرقم التسلسلي</t>
        </is>
      </c>
      <c r="E350" s="4" t="inlineStr">
        <is>
          <t>الفئة</t>
        </is>
      </c>
      <c r="F350" s="4" t="inlineStr">
        <is>
          <t>البند</t>
        </is>
      </c>
      <c r="G350" s="4" t="inlineStr">
        <is>
          <t>وصف البند</t>
        </is>
      </c>
      <c r="H350" s="4" t="inlineStr">
        <is>
          <t>المواصفات</t>
        </is>
      </c>
      <c r="I350" s="9" t="inlineStr">
        <is>
          <t>منتج من القائمة الإلزامية</t>
        </is>
      </c>
      <c r="J350" s="9" t="inlineStr">
        <is>
          <t>الرمز الإنشائي</t>
        </is>
      </c>
      <c r="K350" s="9" t="inlineStr">
        <is>
          <t>مرفقات</t>
        </is>
      </c>
      <c r="L350" s="9" t="inlineStr">
        <is>
          <t>وحدة القياس</t>
        </is>
      </c>
      <c r="M350" s="9" t="inlineStr">
        <is>
          <t>الكمية</t>
        </is>
      </c>
      <c r="N350" s="20" t="inlineStr">
        <is>
          <t>سعر الوحدة</t>
        </is>
      </c>
      <c r="O350" s="20" t="inlineStr">
        <is>
          <t>الإجمالي</t>
        </is>
      </c>
      <c r="P350" s="13" t="n"/>
    </row>
    <row r="351">
      <c r="D351" s="21" t="n"/>
      <c r="E351" s="21" t="n"/>
      <c r="F351" s="21" t="n"/>
      <c r="G351" s="21" t="n"/>
      <c r="H351" s="21" t="n"/>
      <c r="I351" s="21" t="n"/>
      <c r="J351" s="21" t="n"/>
      <c r="K351" s="21" t="n"/>
      <c r="L351" s="21" t="n"/>
      <c r="M351" s="21" t="n"/>
      <c r="N351" s="21" t="n"/>
      <c r="O351" s="21" t="n"/>
      <c r="P351" s="13" t="n"/>
    </row>
    <row r="352" ht="34.8" customHeight="1">
      <c r="D352" s="5" t="n">
        <v>259</v>
      </c>
      <c r="E352" s="5" t="n">
        <v>259</v>
      </c>
      <c r="F352" s="5" t="inlineStr">
        <is>
          <t>غرف الكهرباء تركيب طفايات حريق CO2</t>
        </is>
      </c>
      <c r="G352" s="5" t="inlineStr">
        <is>
          <t>أعمال ميكانيك 49</t>
        </is>
      </c>
      <c r="H352" s="5" t="inlineStr">
        <is>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is>
      </c>
      <c r="I352" s="11" t="inlineStr">
        <is>
          <t>لا</t>
        </is>
      </c>
      <c r="J352" s="11" t="n"/>
      <c r="K352" s="11" t="inlineStr">
        <is>
          <t>لا يوجد مرفقات</t>
        </is>
      </c>
      <c r="L352" s="11" t="inlineStr">
        <is>
          <t>عدد</t>
        </is>
      </c>
      <c r="M352" s="11" t="n">
        <v>4</v>
      </c>
      <c r="N352" s="22" t="n">
        <v>900</v>
      </c>
      <c r="O352" s="25">
        <f>N352*M352</f>
        <v/>
      </c>
      <c r="P352" s="23" t="n">
        <v>3600</v>
      </c>
    </row>
    <row r="353" ht="52.2" customHeight="1">
      <c r="D353" s="5" t="n">
        <v>260</v>
      </c>
      <c r="E353" s="5" t="n">
        <v>260</v>
      </c>
      <c r="F353" s="5" t="inlineStr">
        <is>
          <t>غرف الكهرباء تركيب طفايات حريق CO2 50 كجم</t>
        </is>
      </c>
      <c r="G353" s="5" t="inlineStr">
        <is>
          <t>أعمال ميكانيك 50</t>
        </is>
      </c>
      <c r="H353" s="5" t="inlineStr">
        <is>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is>
      </c>
      <c r="I353" s="11" t="inlineStr">
        <is>
          <t>لا</t>
        </is>
      </c>
      <c r="J353" s="11" t="n"/>
      <c r="K353" s="11" t="inlineStr">
        <is>
          <t>لا يوجد مرفقات</t>
        </is>
      </c>
      <c r="L353" s="11" t="inlineStr">
        <is>
          <t>عدد</t>
        </is>
      </c>
      <c r="M353" s="11" t="n">
        <v>1</v>
      </c>
      <c r="N353" s="22" t="n">
        <v>60000</v>
      </c>
      <c r="O353" s="25">
        <f>N353*M353</f>
        <v/>
      </c>
      <c r="P353" s="23" t="n">
        <v>60000</v>
      </c>
    </row>
    <row r="354" ht="34.8" customHeight="1">
      <c r="D354" s="5" t="n">
        <v>261</v>
      </c>
      <c r="E354" s="5" t="n">
        <v>261</v>
      </c>
      <c r="F354" s="5" t="inlineStr">
        <is>
          <t>غرف الكهرباء تركيب طفايات حريق CO2 54 كجم</t>
        </is>
      </c>
      <c r="G354" s="5" t="inlineStr">
        <is>
          <t>أعمال ميكانيك 51</t>
        </is>
      </c>
      <c r="H354" s="5" t="inlineStr">
        <is>
          <t>كالبند السابق غرفه المولد - اسطوانة سعة 54 كجم عند ضغط 42 بار</t>
        </is>
      </c>
      <c r="I354" s="11" t="inlineStr">
        <is>
          <t>لا</t>
        </is>
      </c>
      <c r="J354" s="11" t="n"/>
      <c r="K354" s="11" t="inlineStr">
        <is>
          <t>لا يوجد مرفقات</t>
        </is>
      </c>
      <c r="L354" s="11" t="inlineStr">
        <is>
          <t>عدد</t>
        </is>
      </c>
      <c r="M354" s="11" t="n">
        <v>1</v>
      </c>
      <c r="N354" s="22" t="n">
        <v>60000</v>
      </c>
      <c r="O354" s="25">
        <f>N354*M354</f>
        <v/>
      </c>
      <c r="P354" s="23" t="n">
        <v>60000</v>
      </c>
    </row>
    <row r="355" ht="34.8" customHeight="1">
      <c r="D355" s="5" t="n">
        <v>262</v>
      </c>
      <c r="E355" s="5" t="n">
        <v>262</v>
      </c>
      <c r="F355" s="5" t="inlineStr">
        <is>
          <t>غرف الكهرباء تركيب طفايات حريق CO2 40 كجم</t>
        </is>
      </c>
      <c r="G355" s="5" t="inlineStr">
        <is>
          <t>أعمال ميكانيك 52</t>
        </is>
      </c>
      <c r="H355" s="5" t="inlineStr">
        <is>
          <t>كالبند السابق غرفه المحول - اسطوانة سعة 40 كجم عند ضغط 42 بار</t>
        </is>
      </c>
      <c r="I355" s="11" t="inlineStr">
        <is>
          <t>لا</t>
        </is>
      </c>
      <c r="J355" s="11" t="n"/>
      <c r="K355" s="11" t="inlineStr">
        <is>
          <t>لا يوجد مرفقات</t>
        </is>
      </c>
      <c r="L355" s="11" t="inlineStr">
        <is>
          <t>عدد</t>
        </is>
      </c>
      <c r="M355" s="11" t="n">
        <v>1</v>
      </c>
      <c r="N355" s="22" t="n">
        <v>45000</v>
      </c>
      <c r="O355" s="25">
        <f>N355*M355</f>
        <v/>
      </c>
      <c r="P355" s="23" t="n">
        <v>45000</v>
      </c>
    </row>
    <row r="356" ht="34.8" customHeight="1">
      <c r="D356" s="5" t="n">
        <v>263</v>
      </c>
      <c r="E356" s="5" t="n">
        <v>263</v>
      </c>
      <c r="F356" s="5" t="inlineStr">
        <is>
          <t>غرف الكهرباء تركيب طفايات حريق CO2 42 كجم</t>
        </is>
      </c>
      <c r="G356" s="5" t="inlineStr">
        <is>
          <t>أعمال ميكانيك 53</t>
        </is>
      </c>
      <c r="H356" s="5" t="inlineStr">
        <is>
          <t>كالبند السابق غرفه جهد منخفض - اسطوانة سعة 40 كجم عند ضغط 42 بار</t>
        </is>
      </c>
      <c r="I356" s="11" t="inlineStr">
        <is>
          <t>لا</t>
        </is>
      </c>
      <c r="J356" s="11" t="n"/>
      <c r="K356" s="11" t="inlineStr">
        <is>
          <t>لا يوجد مرفقات</t>
        </is>
      </c>
      <c r="L356" s="11" t="inlineStr">
        <is>
          <t>عدد</t>
        </is>
      </c>
      <c r="M356" s="11" t="n">
        <v>1</v>
      </c>
      <c r="N356" s="22" t="n">
        <v>45000</v>
      </c>
      <c r="O356" s="25">
        <f>N356*M356</f>
        <v/>
      </c>
      <c r="P356" s="23" t="n">
        <v>45000</v>
      </c>
    </row>
    <row r="357" ht="34.8" customHeight="1">
      <c r="D357" s="5" t="n">
        <v>264</v>
      </c>
      <c r="E357" s="5" t="n">
        <v>264</v>
      </c>
      <c r="F357" s="5" t="inlineStr">
        <is>
          <t>غرف الكهرباء تركيب مروحة شفط هواء</t>
        </is>
      </c>
      <c r="G357" s="5" t="inlineStr">
        <is>
          <t>أعمال ميكانيك 54</t>
        </is>
      </c>
      <c r="H357" s="5" t="inlineStr">
        <is>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is>
      </c>
      <c r="I357" s="11" t="inlineStr">
        <is>
          <t>نعم</t>
        </is>
      </c>
      <c r="J357" s="11" t="n">
        <v>2072</v>
      </c>
      <c r="K357" s="11" t="inlineStr">
        <is>
          <t>لا يوجد مرفقات</t>
        </is>
      </c>
      <c r="L357" s="11" t="inlineStr">
        <is>
          <t>عدد</t>
        </is>
      </c>
      <c r="M357" s="11" t="n">
        <v>1</v>
      </c>
      <c r="N357" s="22" t="n">
        <v>11000</v>
      </c>
      <c r="O357" s="25">
        <f>N357*M357</f>
        <v/>
      </c>
      <c r="P357" s="23" t="n">
        <v>11000</v>
      </c>
    </row>
    <row r="358">
      <c r="D358" s="4" t="inlineStr">
        <is>
          <t>الرقم التسلسلي</t>
        </is>
      </c>
      <c r="E358" s="4" t="inlineStr">
        <is>
          <t>الفئة</t>
        </is>
      </c>
      <c r="F358" s="4" t="inlineStr">
        <is>
          <t>البند</t>
        </is>
      </c>
      <c r="G358" s="4" t="inlineStr">
        <is>
          <t>وصف البند</t>
        </is>
      </c>
      <c r="H358" s="4" t="inlineStr">
        <is>
          <t>المواصفات</t>
        </is>
      </c>
      <c r="I358" s="9" t="inlineStr">
        <is>
          <t>منتج من القائمة الإلزامية</t>
        </is>
      </c>
      <c r="J358" s="9" t="inlineStr">
        <is>
          <t>الرمز الإنشائي</t>
        </is>
      </c>
      <c r="K358" s="9" t="inlineStr">
        <is>
          <t>مرفقات</t>
        </is>
      </c>
      <c r="L358" s="9" t="inlineStr">
        <is>
          <t>وحدة القياس</t>
        </is>
      </c>
      <c r="M358" s="9" t="inlineStr">
        <is>
          <t>الكمية</t>
        </is>
      </c>
      <c r="N358" s="20" t="inlineStr">
        <is>
          <t>سعر الوحدة</t>
        </is>
      </c>
      <c r="O358" s="20" t="inlineStr">
        <is>
          <t>الإجمالي</t>
        </is>
      </c>
      <c r="P358" s="13" t="n"/>
    </row>
    <row r="359">
      <c r="D359" s="21" t="n"/>
      <c r="E359" s="21" t="n"/>
      <c r="F359" s="21" t="n"/>
      <c r="G359" s="21" t="n"/>
      <c r="H359" s="21" t="n"/>
      <c r="I359" s="21" t="n"/>
      <c r="J359" s="21" t="n"/>
      <c r="K359" s="21" t="n"/>
      <c r="L359" s="21" t="n"/>
      <c r="M359" s="21" t="n"/>
      <c r="N359" s="21" t="n"/>
      <c r="O359" s="21" t="n"/>
      <c r="P359" s="13" t="n"/>
    </row>
    <row r="360" ht="34.8" customHeight="1">
      <c r="D360" s="5" t="n">
        <v>265</v>
      </c>
      <c r="E360" s="5" t="n">
        <v>265</v>
      </c>
      <c r="F360" s="5" t="inlineStr">
        <is>
          <t>غرف الكهرباء تركيب صفيات مياه امطار جرجورى</t>
        </is>
      </c>
      <c r="G360" s="5" t="inlineStr">
        <is>
          <t>أعمال ميكانيك 55</t>
        </is>
      </c>
      <c r="H360" s="5" t="inlineStr">
        <is>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is>
      </c>
      <c r="I360" s="11" t="inlineStr">
        <is>
          <t>نعم</t>
        </is>
      </c>
      <c r="J360" s="11" t="n">
        <v>2064</v>
      </c>
      <c r="K360" s="11" t="inlineStr">
        <is>
          <t>لا يوجد مرفقات</t>
        </is>
      </c>
      <c r="L360" s="11" t="inlineStr">
        <is>
          <t>عدد</t>
        </is>
      </c>
      <c r="M360" s="11" t="n">
        <v>2</v>
      </c>
      <c r="N360" s="22" t="n">
        <v>700</v>
      </c>
      <c r="O360" s="25">
        <f>N360*M360</f>
        <v/>
      </c>
      <c r="P360" s="23" t="n">
        <v>1400</v>
      </c>
    </row>
    <row r="361" ht="34.8" customHeight="1">
      <c r="D361" s="5" t="n">
        <v>266</v>
      </c>
      <c r="E361" s="5" t="n">
        <v>266</v>
      </c>
      <c r="F361" s="5" t="inlineStr">
        <is>
          <t>غرف الكهرباء تركيب ترنش</t>
        </is>
      </c>
      <c r="G361" s="5" t="inlineStr">
        <is>
          <t>أعمال ميكانيك 56</t>
        </is>
      </c>
      <c r="H361" s="5" t="inlineStr">
        <is>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is>
      </c>
      <c r="I361" s="11" t="inlineStr">
        <is>
          <t>لا</t>
        </is>
      </c>
      <c r="J361" s="11" t="n"/>
      <c r="K361" s="11" t="inlineStr">
        <is>
          <t>لا يوجد مرفقات</t>
        </is>
      </c>
      <c r="L361" s="11" t="inlineStr">
        <is>
          <t>مط</t>
        </is>
      </c>
      <c r="M361" s="11" t="n">
        <v>20</v>
      </c>
      <c r="N361" s="22" t="n">
        <v>600</v>
      </c>
      <c r="O361" s="25">
        <f>N361*M361</f>
        <v/>
      </c>
      <c r="P361" s="23" t="n">
        <v>12000</v>
      </c>
    </row>
    <row r="362" ht="34.8" customHeight="1">
      <c r="D362" s="5" t="n">
        <v>267</v>
      </c>
      <c r="E362" s="5" t="n">
        <v>267</v>
      </c>
      <c r="F362" s="5" t="inlineStr">
        <is>
          <t>غرف الكهرباء تركيب طفايات حريق بودرة كميائية 6كجم</t>
        </is>
      </c>
      <c r="G362" s="5" t="inlineStr">
        <is>
          <t>أعمال ميكانيك 57</t>
        </is>
      </c>
      <c r="H362" s="5" t="inlineStr">
        <is>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is>
      </c>
      <c r="I362" s="11" t="inlineStr">
        <is>
          <t>لا</t>
        </is>
      </c>
      <c r="J362" s="11" t="n"/>
      <c r="K362" s="11" t="inlineStr">
        <is>
          <t>لا يوجد مرفقات</t>
        </is>
      </c>
      <c r="L362" s="11" t="inlineStr">
        <is>
          <t>عدد</t>
        </is>
      </c>
      <c r="M362" s="11" t="n">
        <v>2</v>
      </c>
      <c r="N362" s="22" t="n">
        <v>900</v>
      </c>
      <c r="O362" s="25">
        <f>N362*M362</f>
        <v/>
      </c>
      <c r="P362" s="23" t="n">
        <v>1800</v>
      </c>
    </row>
    <row r="363" ht="34.8" customHeight="1">
      <c r="D363" s="5" t="n">
        <v>268</v>
      </c>
      <c r="E363" s="5" t="n">
        <v>268</v>
      </c>
      <c r="F363" s="5" t="inlineStr">
        <is>
          <t>غرف الكهرباء طفايات حريق CO2 6كجم</t>
        </is>
      </c>
      <c r="G363" s="5" t="inlineStr">
        <is>
          <t>أعمال ميكانيك 58</t>
        </is>
      </c>
      <c r="H363" s="5" t="inlineStr">
        <is>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is>
      </c>
      <c r="I363" s="11" t="inlineStr">
        <is>
          <t>لا</t>
        </is>
      </c>
      <c r="J363" s="11" t="n"/>
      <c r="K363" s="11" t="inlineStr">
        <is>
          <t>لا يوجد مرفقات</t>
        </is>
      </c>
      <c r="L363" s="11" t="inlineStr">
        <is>
          <t>عدد</t>
        </is>
      </c>
      <c r="M363" s="11" t="n">
        <v>2</v>
      </c>
      <c r="N363" s="22" t="n">
        <v>900</v>
      </c>
      <c r="O363" s="25">
        <f>N363*M363</f>
        <v/>
      </c>
      <c r="P363" s="23" t="n">
        <v>1800</v>
      </c>
    </row>
    <row r="364" ht="69.59999999999999" customHeight="1">
      <c r="D364" s="5" t="n">
        <v>269</v>
      </c>
      <c r="E364" s="5" t="n">
        <v>269</v>
      </c>
      <c r="F364" s="5" t="inlineStr">
        <is>
          <t>سكن العاملين تركيب مكيف 18000 وحدة</t>
        </is>
      </c>
      <c r="G364" s="5" t="inlineStr">
        <is>
          <t>أعمال ميكانيك 59</t>
        </is>
      </c>
      <c r="H364" s="5" t="inlineStr">
        <is>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is>
      </c>
      <c r="I364" s="11" t="inlineStr">
        <is>
          <t>نعم</t>
        </is>
      </c>
      <c r="J364" s="11" t="n">
        <v>2078</v>
      </c>
      <c r="K364" s="11" t="inlineStr">
        <is>
          <t>لا يوجد مرفقات</t>
        </is>
      </c>
      <c r="L364" s="11" t="inlineStr">
        <is>
          <t>عدد</t>
        </is>
      </c>
      <c r="M364" s="11" t="n">
        <v>2</v>
      </c>
      <c r="N364" s="22" t="n">
        <v>6000</v>
      </c>
      <c r="O364" s="25">
        <f>N364*M364</f>
        <v/>
      </c>
      <c r="P364" s="23" t="n">
        <v>12000</v>
      </c>
    </row>
    <row r="365">
      <c r="D365" s="5" t="n">
        <v>270</v>
      </c>
      <c r="E365" s="5" t="n">
        <v>270</v>
      </c>
      <c r="F365" s="5" t="inlineStr">
        <is>
          <t>سكن العاملين تركيب مكيف 24000 وحدة</t>
        </is>
      </c>
      <c r="G365" s="5" t="inlineStr">
        <is>
          <t>أعمال ميكانيك 60</t>
        </is>
      </c>
      <c r="H365" s="5" t="inlineStr">
        <is>
          <t>كالبند السابق وحدة تكييف منفصل جدارى بقدرة 24,000 وحدة حرارية بريطانية</t>
        </is>
      </c>
      <c r="I365" s="11" t="inlineStr">
        <is>
          <t>نعم</t>
        </is>
      </c>
      <c r="J365" s="11" t="n">
        <v>2078</v>
      </c>
      <c r="K365" s="11" t="inlineStr">
        <is>
          <t>لا يوجد مرفقات</t>
        </is>
      </c>
      <c r="L365" s="11" t="inlineStr">
        <is>
          <t>عدد</t>
        </is>
      </c>
      <c r="M365" s="11" t="n">
        <v>3</v>
      </c>
      <c r="N365" s="25" t="n">
        <v>9000</v>
      </c>
      <c r="O365" s="25">
        <f>N365*M365</f>
        <v/>
      </c>
      <c r="P365" s="23" t="n">
        <v>27000</v>
      </c>
    </row>
    <row r="366">
      <c r="D366" s="4" t="inlineStr">
        <is>
          <t>الرقم التسلسلي</t>
        </is>
      </c>
      <c r="E366" s="4" t="inlineStr">
        <is>
          <t>الفئة</t>
        </is>
      </c>
      <c r="F366" s="4" t="inlineStr">
        <is>
          <t>البند</t>
        </is>
      </c>
      <c r="G366" s="4" t="inlineStr">
        <is>
          <t>وصف البند</t>
        </is>
      </c>
      <c r="H366" s="4" t="inlineStr">
        <is>
          <t>المواصفات</t>
        </is>
      </c>
      <c r="I366" s="9" t="inlineStr">
        <is>
          <t>منتج من القائمة الإلزامية</t>
        </is>
      </c>
      <c r="J366" s="9" t="inlineStr">
        <is>
          <t>الرمز الإنشائي</t>
        </is>
      </c>
      <c r="K366" s="9" t="inlineStr">
        <is>
          <t>مرفقات</t>
        </is>
      </c>
      <c r="L366" s="9" t="inlineStr">
        <is>
          <t>وحدة القياس</t>
        </is>
      </c>
      <c r="M366" s="9" t="inlineStr">
        <is>
          <t>الكمية</t>
        </is>
      </c>
      <c r="N366" s="20" t="inlineStr">
        <is>
          <t>سعر الوحدة</t>
        </is>
      </c>
      <c r="O366" s="20" t="inlineStr">
        <is>
          <t>الإجمالي</t>
        </is>
      </c>
      <c r="P366" s="13" t="n"/>
    </row>
    <row r="367">
      <c r="D367" s="21" t="n"/>
      <c r="E367" s="21" t="n"/>
      <c r="F367" s="21" t="n"/>
      <c r="G367" s="21" t="n"/>
      <c r="H367" s="21" t="n"/>
      <c r="I367" s="21" t="n"/>
      <c r="J367" s="21" t="n"/>
      <c r="K367" s="21" t="n"/>
      <c r="L367" s="21" t="n"/>
      <c r="M367" s="21" t="n"/>
      <c r="N367" s="21" t="n"/>
      <c r="O367" s="21" t="n"/>
      <c r="P367" s="13" t="n"/>
    </row>
    <row r="368">
      <c r="D368" s="5" t="n">
        <v>271</v>
      </c>
      <c r="E368" s="5" t="n">
        <v>271</v>
      </c>
      <c r="F368" s="5" t="inlineStr">
        <is>
          <t>سكن العاملين تركيب مكيف 30000وحدة</t>
        </is>
      </c>
      <c r="G368" s="5" t="inlineStr">
        <is>
          <t>أعمال ميكانيك 61</t>
        </is>
      </c>
      <c r="H368" s="5" t="inlineStr">
        <is>
          <t>كالبند السابق وحدة تكييف منفصل جدارى بقدرة 30,000 وحدة حرارية بريطانية</t>
        </is>
      </c>
      <c r="I368" s="11" t="inlineStr">
        <is>
          <t>نعم</t>
        </is>
      </c>
      <c r="J368" s="11" t="n">
        <v>2078</v>
      </c>
      <c r="K368" s="11" t="inlineStr">
        <is>
          <t>لا يوجد مرفقات</t>
        </is>
      </c>
      <c r="L368" s="11" t="inlineStr">
        <is>
          <t>عدد</t>
        </is>
      </c>
      <c r="M368" s="11" t="n">
        <v>3</v>
      </c>
      <c r="N368" s="22" t="n">
        <v>11000</v>
      </c>
      <c r="O368" s="25">
        <f>N368*M368</f>
        <v/>
      </c>
      <c r="P368" s="23" t="n">
        <v>33000</v>
      </c>
    </row>
    <row r="369" ht="34.8" customHeight="1">
      <c r="D369" s="5" t="n">
        <v>272</v>
      </c>
      <c r="E369" s="5" t="n">
        <v>272</v>
      </c>
      <c r="F369" s="5" t="inlineStr">
        <is>
          <t>سكن العاملين تركيب مروحة شفط هواء 5 لتر</t>
        </is>
      </c>
      <c r="G369" s="5" t="inlineStr">
        <is>
          <t>أعمال ميكانيك 62</t>
        </is>
      </c>
      <c r="H369" s="5" t="inlineStr">
        <is>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is>
      </c>
      <c r="I369" s="11" t="inlineStr">
        <is>
          <t>نعم</t>
        </is>
      </c>
      <c r="J369" s="11" t="n">
        <v>2072</v>
      </c>
      <c r="K369" s="11" t="inlineStr">
        <is>
          <t>لا يوجد مرفقات</t>
        </is>
      </c>
      <c r="L369" s="11" t="inlineStr">
        <is>
          <t>عدد</t>
        </is>
      </c>
      <c r="M369" s="11" t="n">
        <v>6</v>
      </c>
      <c r="N369" s="22" t="n">
        <v>4500</v>
      </c>
      <c r="O369" s="25">
        <f>N369*M369</f>
        <v/>
      </c>
      <c r="P369" s="23" t="n">
        <v>27000</v>
      </c>
    </row>
    <row r="370" ht="34.8" customHeight="1">
      <c r="D370" s="5" t="n">
        <v>273</v>
      </c>
      <c r="E370" s="5" t="n">
        <v>273</v>
      </c>
      <c r="F370" s="5" t="inlineStr">
        <is>
          <t>سكن العاملين تركيب مروحة شفط هواء 200 لتر</t>
        </is>
      </c>
      <c r="G370" s="5" t="inlineStr">
        <is>
          <t>أعمال ميكانيك 63</t>
        </is>
      </c>
      <c r="H370" s="5" t="inlineStr">
        <is>
          <t>كالبند السابق مروحه شفط هواء بتدفق ( 300 لتر/ث)</t>
        </is>
      </c>
      <c r="I370" s="11" t="inlineStr">
        <is>
          <t>نعم</t>
        </is>
      </c>
      <c r="J370" s="11" t="n">
        <v>2072</v>
      </c>
      <c r="K370" s="11" t="inlineStr">
        <is>
          <t>لا يوجد مرفقات</t>
        </is>
      </c>
      <c r="L370" s="11" t="inlineStr">
        <is>
          <t>عدد</t>
        </is>
      </c>
      <c r="M370" s="11" t="n">
        <v>2</v>
      </c>
      <c r="N370" s="22" t="n">
        <v>5000</v>
      </c>
      <c r="O370" s="25">
        <f>N370*M370</f>
        <v/>
      </c>
      <c r="P370" s="23" t="n">
        <v>10000</v>
      </c>
    </row>
    <row r="371" ht="52.2" customHeight="1">
      <c r="D371" s="5" t="n">
        <v>274</v>
      </c>
      <c r="E371" s="5" t="n">
        <v>274</v>
      </c>
      <c r="F371" s="5" t="inlineStr">
        <is>
          <t>سكن العاملين تركيب مغاسل</t>
        </is>
      </c>
      <c r="G371" s="5" t="inlineStr">
        <is>
          <t>أعمال ميكانيك 64</t>
        </is>
      </c>
      <c r="H371" s="5" t="inlineStr">
        <is>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is>
      </c>
      <c r="I371" s="11" t="inlineStr">
        <is>
          <t>نعم</t>
        </is>
      </c>
      <c r="J371" s="11" t="n">
        <v>2058</v>
      </c>
      <c r="K371" s="11" t="inlineStr">
        <is>
          <t>لا يوجد مرفقات</t>
        </is>
      </c>
      <c r="L371" s="11" t="inlineStr">
        <is>
          <t>عدد</t>
        </is>
      </c>
      <c r="M371" s="11" t="n">
        <v>8</v>
      </c>
      <c r="N371" s="22" t="n">
        <v>700</v>
      </c>
      <c r="O371" s="25">
        <f>N371*M371</f>
        <v/>
      </c>
      <c r="P371" s="23" t="n">
        <v>5600</v>
      </c>
    </row>
    <row r="372" ht="34.8" customHeight="1">
      <c r="D372" s="5" t="n">
        <v>275</v>
      </c>
      <c r="E372" s="5" t="n">
        <v>275</v>
      </c>
      <c r="F372" s="5" t="inlineStr">
        <is>
          <t>سكن العاملين تركيب كرسي مرحاض افرنجى</t>
        </is>
      </c>
      <c r="G372" s="5" t="inlineStr">
        <is>
          <t>أعمال ميكانيك 65</t>
        </is>
      </c>
      <c r="H372" s="5" t="inlineStr">
        <is>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is>
      </c>
      <c r="I372" s="11" t="inlineStr">
        <is>
          <t>نعم</t>
        </is>
      </c>
      <c r="J372" s="11" t="n">
        <v>2058</v>
      </c>
      <c r="K372" s="11" t="inlineStr">
        <is>
          <t>لا يوجد مرفقات</t>
        </is>
      </c>
      <c r="L372" s="11" t="inlineStr">
        <is>
          <t>عدد</t>
        </is>
      </c>
      <c r="M372" s="11" t="n">
        <v>2</v>
      </c>
      <c r="N372" s="22" t="n">
        <v>700</v>
      </c>
      <c r="O372" s="25">
        <f>N372*M372</f>
        <v/>
      </c>
      <c r="P372" s="23" t="n">
        <v>1400</v>
      </c>
    </row>
    <row r="373" ht="34.8" customHeight="1">
      <c r="D373" s="5" t="n">
        <v>276</v>
      </c>
      <c r="E373" s="5" t="n">
        <v>276</v>
      </c>
      <c r="F373" s="5" t="inlineStr">
        <is>
          <t>سكن العاملين مرحاض شرقى</t>
        </is>
      </c>
      <c r="G373" s="5" t="inlineStr">
        <is>
          <t>أعمال ميكانيك 66</t>
        </is>
      </c>
      <c r="H373" s="5" t="inlineStr">
        <is>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is>
      </c>
      <c r="I373" s="11" t="inlineStr">
        <is>
          <t>نعم</t>
        </is>
      </c>
      <c r="J373" s="11" t="n">
        <v>2058</v>
      </c>
      <c r="K373" s="11" t="inlineStr">
        <is>
          <t>لا يوجد مرفقات</t>
        </is>
      </c>
      <c r="L373" s="11" t="inlineStr">
        <is>
          <t>عدد</t>
        </is>
      </c>
      <c r="M373" s="11" t="n">
        <v>4</v>
      </c>
      <c r="N373" s="22" t="n">
        <v>700</v>
      </c>
      <c r="O373" s="25">
        <f>N373*M373</f>
        <v/>
      </c>
      <c r="P373" s="23" t="n">
        <v>2800</v>
      </c>
    </row>
    <row r="374">
      <c r="D374" s="4" t="inlineStr">
        <is>
          <t>الرقم التسلسلي</t>
        </is>
      </c>
      <c r="E374" s="4" t="inlineStr">
        <is>
          <t>الفئة</t>
        </is>
      </c>
      <c r="F374" s="4" t="inlineStr">
        <is>
          <t>البند</t>
        </is>
      </c>
      <c r="G374" s="4" t="inlineStr">
        <is>
          <t>وصف البند</t>
        </is>
      </c>
      <c r="H374" s="4" t="inlineStr">
        <is>
          <t>المواصفات</t>
        </is>
      </c>
      <c r="I374" s="9" t="inlineStr">
        <is>
          <t>منتج من القائمة الإلزامية</t>
        </is>
      </c>
      <c r="J374" s="9" t="inlineStr">
        <is>
          <t>الرمز الإنشائي</t>
        </is>
      </c>
      <c r="K374" s="9" t="inlineStr">
        <is>
          <t>مرفقات</t>
        </is>
      </c>
      <c r="L374" s="9" t="inlineStr">
        <is>
          <t>وحدة القياس</t>
        </is>
      </c>
      <c r="M374" s="9" t="inlineStr">
        <is>
          <t>الكمية</t>
        </is>
      </c>
      <c r="N374" s="20" t="inlineStr">
        <is>
          <t>سعر الوحدة</t>
        </is>
      </c>
      <c r="O374" s="20" t="inlineStr">
        <is>
          <t>الإجمالي</t>
        </is>
      </c>
      <c r="P374" s="13" t="n"/>
    </row>
    <row r="375">
      <c r="D375" s="21" t="n"/>
      <c r="E375" s="21" t="n"/>
      <c r="F375" s="21" t="n"/>
      <c r="G375" s="21" t="n"/>
      <c r="H375" s="21" t="n"/>
      <c r="I375" s="21" t="n"/>
      <c r="J375" s="21" t="n"/>
      <c r="K375" s="21" t="n"/>
      <c r="L375" s="21" t="n"/>
      <c r="M375" s="21" t="n"/>
      <c r="N375" s="21" t="n"/>
      <c r="O375" s="21" t="n"/>
      <c r="P375" s="13" t="n"/>
    </row>
    <row r="376" ht="52.2" customHeight="1">
      <c r="D376" s="5" t="n">
        <v>277</v>
      </c>
      <c r="E376" s="5" t="n">
        <v>277</v>
      </c>
      <c r="F376" s="5" t="inlineStr">
        <is>
          <t>سكن العاملين تركيب مغسلة اوانى للمطبخ</t>
        </is>
      </c>
      <c r="G376" s="5" t="inlineStr">
        <is>
          <t>أعمال ميكانيك 67</t>
        </is>
      </c>
      <c r="H376" s="5" t="inlineStr">
        <is>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is>
      </c>
      <c r="I376" s="11" t="inlineStr">
        <is>
          <t>لا</t>
        </is>
      </c>
      <c r="J376" s="11" t="n"/>
      <c r="K376" s="11" t="inlineStr">
        <is>
          <t>لا يوجد مرفقات</t>
        </is>
      </c>
      <c r="L376" s="11" t="inlineStr">
        <is>
          <t>عدد</t>
        </is>
      </c>
      <c r="M376" s="11" t="n">
        <v>4</v>
      </c>
      <c r="N376" s="22" t="n">
        <v>700</v>
      </c>
      <c r="O376" s="25">
        <f>N376*M376</f>
        <v/>
      </c>
      <c r="P376" s="23" t="n">
        <v>2800</v>
      </c>
    </row>
    <row r="377" ht="34.8" customHeight="1">
      <c r="D377" s="5" t="n">
        <v>278</v>
      </c>
      <c r="E377" s="5" t="n">
        <v>278</v>
      </c>
      <c r="F377" s="5" t="inlineStr">
        <is>
          <t>سكن العاملين تركيب مغسلة للملابس</t>
        </is>
      </c>
      <c r="G377" s="5" t="inlineStr">
        <is>
          <t>أعمال ميكانيك 68</t>
        </is>
      </c>
      <c r="H377" s="5" t="inlineStr">
        <is>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is>
      </c>
      <c r="I377" s="11" t="inlineStr">
        <is>
          <t>لا</t>
        </is>
      </c>
      <c r="J377" s="11" t="n"/>
      <c r="K377" s="11" t="inlineStr">
        <is>
          <t>لا يوجد مرفقات</t>
        </is>
      </c>
      <c r="L377" s="11" t="inlineStr">
        <is>
          <t>عدد</t>
        </is>
      </c>
      <c r="M377" s="11" t="n">
        <v>8</v>
      </c>
      <c r="N377" s="22" t="n">
        <v>700</v>
      </c>
      <c r="O377" s="25">
        <f>N377*M377</f>
        <v/>
      </c>
      <c r="P377" s="23" t="n">
        <v>5600</v>
      </c>
    </row>
    <row r="378" ht="34.8" customHeight="1">
      <c r="D378" s="5" t="n">
        <v>279</v>
      </c>
      <c r="E378" s="5" t="n">
        <v>279</v>
      </c>
      <c r="F378" s="5" t="inlineStr">
        <is>
          <t>سكن العاملين تركيب حوض شاور للحمام</t>
        </is>
      </c>
      <c r="G378" s="5" t="inlineStr">
        <is>
          <t>أعمال ميكانيك 69</t>
        </is>
      </c>
      <c r="H378" s="5" t="inlineStr">
        <is>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is>
      </c>
      <c r="I378" s="11" t="inlineStr">
        <is>
          <t>نعم</t>
        </is>
      </c>
      <c r="J378" s="11" t="n">
        <v>2058</v>
      </c>
      <c r="K378" s="11" t="inlineStr">
        <is>
          <t>لا يوجد مرفقات</t>
        </is>
      </c>
      <c r="L378" s="11" t="inlineStr">
        <is>
          <t>عدد</t>
        </is>
      </c>
      <c r="M378" s="11" t="n">
        <v>4</v>
      </c>
      <c r="N378" s="22" t="n">
        <v>700</v>
      </c>
      <c r="O378" s="25">
        <f>N378*M378</f>
        <v/>
      </c>
      <c r="P378" s="23" t="n">
        <v>2800</v>
      </c>
    </row>
    <row r="379">
      <c r="D379" s="5" t="n">
        <v>280</v>
      </c>
      <c r="E379" s="5" t="n">
        <v>280</v>
      </c>
      <c r="F379" s="5" t="inlineStr">
        <is>
          <t>سكن العاملين تركيب مجفف ايدي</t>
        </is>
      </c>
      <c r="G379" s="5" t="inlineStr">
        <is>
          <t>أعمال ميكانيك 70</t>
        </is>
      </c>
      <c r="H379" s="5" t="inlineStr">
        <is>
          <t>توريد وتركيب مجفف أيدي من أجود الأنواع والسعر يشمل جميع ما يلزم لإنهاء العمل نهوا تاما طبقا للمخططات والموصفات وأصول الصناعة واعتماد المهندس المشرف</t>
        </is>
      </c>
      <c r="I379" s="11" t="inlineStr">
        <is>
          <t>لا</t>
        </is>
      </c>
      <c r="J379" s="11" t="n"/>
      <c r="K379" s="11" t="inlineStr">
        <is>
          <t>لا يوجد مرفقات</t>
        </is>
      </c>
      <c r="L379" s="11" t="inlineStr">
        <is>
          <t>عدد</t>
        </is>
      </c>
      <c r="M379" s="11" t="n">
        <v>4</v>
      </c>
      <c r="N379" s="22" t="n">
        <v>700</v>
      </c>
      <c r="O379" s="25">
        <f>N379*M379</f>
        <v/>
      </c>
      <c r="P379" s="23" t="n">
        <v>2800</v>
      </c>
    </row>
    <row r="380" ht="34.8" customHeight="1">
      <c r="D380" s="5" t="n">
        <v>281</v>
      </c>
      <c r="E380" s="5" t="n">
        <v>281</v>
      </c>
      <c r="F380" s="5" t="inlineStr">
        <is>
          <t>سكن العاملين تركيب حامل مناديل ورقية</t>
        </is>
      </c>
      <c r="G380" s="5" t="inlineStr">
        <is>
          <t>أعمال ميكانيك 71</t>
        </is>
      </c>
      <c r="H380" s="5" t="inlineStr">
        <is>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is>
      </c>
      <c r="I380" s="11" t="inlineStr">
        <is>
          <t>نعم</t>
        </is>
      </c>
      <c r="J380" s="11" t="n">
        <v>2058</v>
      </c>
      <c r="K380" s="11" t="inlineStr">
        <is>
          <t>لا يوجد مرفقات</t>
        </is>
      </c>
      <c r="L380" s="11" t="inlineStr">
        <is>
          <t>عدد</t>
        </is>
      </c>
      <c r="M380" s="11" t="n">
        <v>6</v>
      </c>
      <c r="N380" s="22" t="n">
        <v>210</v>
      </c>
      <c r="O380" s="25">
        <f>N380*M380</f>
        <v/>
      </c>
      <c r="P380" s="23" t="n">
        <v>1260</v>
      </c>
    </row>
    <row r="381" ht="34.8" customHeight="1">
      <c r="D381" s="5" t="n">
        <v>282</v>
      </c>
      <c r="E381" s="5" t="n">
        <v>282</v>
      </c>
      <c r="F381" s="5" t="inlineStr">
        <is>
          <t>سكن العاملين تركيب صفاية ارضية 50 مم</t>
        </is>
      </c>
      <c r="G381" s="5" t="inlineStr">
        <is>
          <t>أعمال ميكانيك 72</t>
        </is>
      </c>
      <c r="H381" s="5" t="inlineStr">
        <is>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is>
      </c>
      <c r="I381" s="11" t="inlineStr">
        <is>
          <t>نعم</t>
        </is>
      </c>
      <c r="J381" s="11" t="n">
        <v>2058</v>
      </c>
      <c r="K381" s="11" t="inlineStr">
        <is>
          <t>لا يوجد مرفقات</t>
        </is>
      </c>
      <c r="L381" s="11" t="inlineStr">
        <is>
          <t>عدد</t>
        </is>
      </c>
      <c r="M381" s="11" t="n">
        <v>3</v>
      </c>
      <c r="N381" s="22" t="n">
        <v>350</v>
      </c>
      <c r="O381" s="25">
        <f>N381*M381</f>
        <v/>
      </c>
      <c r="P381" s="23" t="n">
        <v>1050</v>
      </c>
    </row>
    <row r="382">
      <c r="D382" s="4" t="inlineStr">
        <is>
          <t>الرقم التسلسلي</t>
        </is>
      </c>
      <c r="E382" s="4" t="inlineStr">
        <is>
          <t>الفئة</t>
        </is>
      </c>
      <c r="F382" s="4" t="inlineStr">
        <is>
          <t>البند</t>
        </is>
      </c>
      <c r="G382" s="4" t="inlineStr">
        <is>
          <t>وصف البند</t>
        </is>
      </c>
      <c r="H382" s="4" t="inlineStr">
        <is>
          <t>المواصفات</t>
        </is>
      </c>
      <c r="I382" s="9" t="inlineStr">
        <is>
          <t>منتج من القائمة الإلزامية</t>
        </is>
      </c>
      <c r="J382" s="9" t="inlineStr">
        <is>
          <t>الرمز الإنشائي</t>
        </is>
      </c>
      <c r="K382" s="9" t="inlineStr">
        <is>
          <t>مرفقات</t>
        </is>
      </c>
      <c r="L382" s="9" t="inlineStr">
        <is>
          <t>وحدة القياس</t>
        </is>
      </c>
      <c r="M382" s="9" t="inlineStr">
        <is>
          <t>الكمية</t>
        </is>
      </c>
      <c r="N382" s="20" t="inlineStr">
        <is>
          <t>سعر الوحدة</t>
        </is>
      </c>
      <c r="O382" s="20" t="inlineStr">
        <is>
          <t>الإجمالي</t>
        </is>
      </c>
      <c r="P382" s="13" t="n"/>
    </row>
    <row r="383">
      <c r="D383" s="21" t="n"/>
      <c r="E383" s="21" t="n"/>
      <c r="F383" s="21" t="n"/>
      <c r="G383" s="21" t="n"/>
      <c r="H383" s="21" t="n"/>
      <c r="I383" s="21" t="n"/>
      <c r="J383" s="21" t="n"/>
      <c r="K383" s="21" t="n"/>
      <c r="L383" s="21" t="n"/>
      <c r="M383" s="21" t="n"/>
      <c r="N383" s="21" t="n"/>
      <c r="O383" s="21" t="n"/>
      <c r="P383" s="13" t="n"/>
    </row>
    <row r="384">
      <c r="D384" s="5" t="n">
        <v>283</v>
      </c>
      <c r="E384" s="5" t="n">
        <v>283</v>
      </c>
      <c r="F384" s="5" t="inlineStr">
        <is>
          <t>سكن العاملين تركيب صفاية ارضية 75 مم</t>
        </is>
      </c>
      <c r="G384" s="5" t="inlineStr">
        <is>
          <t>أعمال ميكانيك 73</t>
        </is>
      </c>
      <c r="H384" s="5" t="inlineStr">
        <is>
          <t>كالبند السابق صفاية أرضية بمخرج قطر 75مم</t>
        </is>
      </c>
      <c r="I384" s="11" t="inlineStr">
        <is>
          <t>نعم</t>
        </is>
      </c>
      <c r="J384" s="11" t="n">
        <v>2058</v>
      </c>
      <c r="K384" s="11" t="inlineStr">
        <is>
          <t>لا يوجد مرفقات</t>
        </is>
      </c>
      <c r="L384" s="11" t="inlineStr">
        <is>
          <t>عدد</t>
        </is>
      </c>
      <c r="M384" s="11" t="n">
        <v>3</v>
      </c>
      <c r="N384" s="22" t="n">
        <v>350</v>
      </c>
      <c r="O384" s="25">
        <f>N384*M384</f>
        <v/>
      </c>
      <c r="P384" s="23" t="n">
        <v>1050</v>
      </c>
    </row>
    <row r="385" ht="34.8" customHeight="1">
      <c r="D385" s="5" t="n">
        <v>284</v>
      </c>
      <c r="E385" s="5" t="n">
        <v>284</v>
      </c>
      <c r="F385" s="5" t="inlineStr">
        <is>
          <t>سكن العاملين تركيب طبات تسليك ارضية 75مم</t>
        </is>
      </c>
      <c r="G385" s="5" t="inlineStr">
        <is>
          <t>أعمال ميكانيك 74</t>
        </is>
      </c>
      <c r="H385" s="5" t="inlineStr">
        <is>
          <t>بالعدد توريد وتركيب وتشغيل تجريبي واختبار طبات تسليك أرضية قطر 75مم ذات غطاء من الأستانلس ستييل طبقا للمواصفات والمخططات وأعتماد المهندس المشرف</t>
        </is>
      </c>
      <c r="I385" s="11" t="inlineStr">
        <is>
          <t>نعم</t>
        </is>
      </c>
      <c r="J385" s="11" t="n">
        <v>2058</v>
      </c>
      <c r="K385" s="11" t="inlineStr">
        <is>
          <t>لا يوجد مرفقات</t>
        </is>
      </c>
      <c r="L385" s="11" t="inlineStr">
        <is>
          <t>عدد</t>
        </is>
      </c>
      <c r="M385" s="11" t="n">
        <v>6</v>
      </c>
      <c r="N385" s="22" t="n">
        <v>350</v>
      </c>
      <c r="O385" s="25">
        <f>N385*M385</f>
        <v/>
      </c>
      <c r="P385" s="23" t="n">
        <v>2100</v>
      </c>
    </row>
    <row r="386" ht="34.8" customHeight="1">
      <c r="D386" s="5" t="n">
        <v>285</v>
      </c>
      <c r="E386" s="5" t="n">
        <v>285</v>
      </c>
      <c r="F386" s="5" t="inlineStr">
        <is>
          <t>سكن العاملين تركيب طبات تسليك ارضية 110مم</t>
        </is>
      </c>
      <c r="G386" s="5" t="inlineStr">
        <is>
          <t>أعمال ميكانيك 75</t>
        </is>
      </c>
      <c r="H386" s="5" t="inlineStr">
        <is>
          <t>كالبند السابق طبة تسليك قطر 110مم</t>
        </is>
      </c>
      <c r="I386" s="11" t="inlineStr">
        <is>
          <t>نعم</t>
        </is>
      </c>
      <c r="J386" s="11" t="n">
        <v>2058</v>
      </c>
      <c r="K386" s="11" t="inlineStr">
        <is>
          <t>لا يوجد مرفقات</t>
        </is>
      </c>
      <c r="L386" s="11" t="inlineStr">
        <is>
          <t>عدد</t>
        </is>
      </c>
      <c r="M386" s="11" t="n">
        <v>3</v>
      </c>
      <c r="N386" s="22" t="n">
        <v>350</v>
      </c>
      <c r="O386" s="25">
        <f>N386*M386</f>
        <v/>
      </c>
      <c r="P386" s="23" t="n">
        <v>1050</v>
      </c>
    </row>
    <row r="387" ht="34.8" customHeight="1">
      <c r="D387" s="5" t="n">
        <v>286</v>
      </c>
      <c r="E387" s="5" t="n">
        <v>286</v>
      </c>
      <c r="F387" s="5" t="inlineStr">
        <is>
          <t>سكن العاملين تركيب انابيب بلاستيك أ</t>
        </is>
      </c>
      <c r="G387" s="5" t="inlineStr">
        <is>
          <t>أعمال ميكانيك 76</t>
        </is>
      </c>
      <c r="H387" s="5" t="inlineStr">
        <is>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is>
      </c>
      <c r="I387" s="11" t="inlineStr">
        <is>
          <t>نعم</t>
        </is>
      </c>
      <c r="J387" s="11" t="n">
        <v>2062</v>
      </c>
      <c r="K387" s="11" t="inlineStr">
        <is>
          <t>لا يوجد مرفقات</t>
        </is>
      </c>
      <c r="L387" s="11" t="inlineStr">
        <is>
          <t>مط</t>
        </is>
      </c>
      <c r="M387" s="11" t="n">
        <v>20</v>
      </c>
      <c r="N387" s="22" t="n">
        <v>160</v>
      </c>
      <c r="O387" s="25">
        <f>N387*M387</f>
        <v/>
      </c>
      <c r="P387" s="23" t="n">
        <v>3200</v>
      </c>
    </row>
    <row r="388">
      <c r="D388" s="5" t="n">
        <v>287</v>
      </c>
      <c r="E388" s="5" t="n">
        <v>287</v>
      </c>
      <c r="F388" s="5" t="inlineStr">
        <is>
          <t>سكن العاملين تركيب انابيب بلاستيك ب</t>
        </is>
      </c>
      <c r="G388" s="5" t="inlineStr">
        <is>
          <t>أعمال ميكانيك 77</t>
        </is>
      </c>
      <c r="H388" s="5" t="inlineStr">
        <is>
          <t>كالبند السابق , أنابيب UPVC قطر 75 مم - درجة 4</t>
        </is>
      </c>
      <c r="I388" s="11" t="inlineStr">
        <is>
          <t>نعم</t>
        </is>
      </c>
      <c r="J388" s="11" t="n">
        <v>2062</v>
      </c>
      <c r="K388" s="11" t="inlineStr">
        <is>
          <t>لا يوجد مرفقات</t>
        </is>
      </c>
      <c r="L388" s="11" t="inlineStr">
        <is>
          <t>مط</t>
        </is>
      </c>
      <c r="M388" s="11" t="n">
        <v>50</v>
      </c>
      <c r="N388" s="22" t="n">
        <v>110</v>
      </c>
      <c r="O388" s="25">
        <f>N388*M388</f>
        <v/>
      </c>
      <c r="P388" s="23" t="n">
        <v>5500</v>
      </c>
    </row>
    <row r="389">
      <c r="D389" s="5" t="n">
        <v>288</v>
      </c>
      <c r="E389" s="5" t="n">
        <v>288</v>
      </c>
      <c r="F389" s="5" t="inlineStr">
        <is>
          <t>سكن العاملين تركيب أنابيب بلاستيك ج</t>
        </is>
      </c>
      <c r="G389" s="5" t="inlineStr">
        <is>
          <t>أعمال ميكانيك 78</t>
        </is>
      </c>
      <c r="H389" s="5" t="inlineStr">
        <is>
          <t>كالبند السابق , أنابيب UPVC قطر 50 مم - درجة 4</t>
        </is>
      </c>
      <c r="I389" s="11" t="inlineStr">
        <is>
          <t>نعم</t>
        </is>
      </c>
      <c r="J389" s="11" t="n">
        <v>2062</v>
      </c>
      <c r="K389" s="11" t="inlineStr">
        <is>
          <t>لا يوجد مرفقات</t>
        </is>
      </c>
      <c r="L389" s="11" t="inlineStr">
        <is>
          <t>مط</t>
        </is>
      </c>
      <c r="M389" s="11" t="n">
        <v>35</v>
      </c>
      <c r="N389" s="22" t="n">
        <v>70</v>
      </c>
      <c r="O389" s="25">
        <f>N389*M389</f>
        <v/>
      </c>
      <c r="P389" s="23" t="n">
        <v>2450</v>
      </c>
    </row>
    <row r="390">
      <c r="D390" s="4" t="inlineStr">
        <is>
          <t>لرقم التسلسلي</t>
        </is>
      </c>
      <c r="E390" s="4" t="inlineStr">
        <is>
          <t>الفئة</t>
        </is>
      </c>
      <c r="F390" s="4" t="inlineStr">
        <is>
          <t>البند</t>
        </is>
      </c>
      <c r="G390" s="4" t="inlineStr">
        <is>
          <t>وصف البند</t>
        </is>
      </c>
      <c r="H390" s="4" t="inlineStr">
        <is>
          <t>المواصفات</t>
        </is>
      </c>
      <c r="I390" s="9" t="inlineStr">
        <is>
          <t>منتج من القائمة الإلزامية</t>
        </is>
      </c>
      <c r="J390" s="9" t="inlineStr">
        <is>
          <t>الرمز الإنشائي</t>
        </is>
      </c>
      <c r="K390" s="9" t="inlineStr">
        <is>
          <t>مرفقات</t>
        </is>
      </c>
      <c r="L390" s="9" t="inlineStr">
        <is>
          <t>وحدة القياس</t>
        </is>
      </c>
      <c r="M390" s="9" t="inlineStr">
        <is>
          <t>الكمية</t>
        </is>
      </c>
      <c r="N390" s="20" t="inlineStr">
        <is>
          <t>سعر الوحدة</t>
        </is>
      </c>
      <c r="O390" s="20" t="inlineStr">
        <is>
          <t>الإجمالي</t>
        </is>
      </c>
      <c r="P390" s="13" t="n"/>
    </row>
    <row r="391">
      <c r="D391" s="21" t="n"/>
      <c r="E391" s="21" t="n"/>
      <c r="F391" s="21" t="n"/>
      <c r="G391" s="21" t="n"/>
      <c r="H391" s="21" t="n"/>
      <c r="I391" s="21" t="n"/>
      <c r="J391" s="21" t="n"/>
      <c r="K391" s="21" t="n"/>
      <c r="L391" s="21" t="n"/>
      <c r="M391" s="21" t="n"/>
      <c r="N391" s="21" t="n"/>
      <c r="O391" s="21" t="n"/>
      <c r="P391" s="13" t="n"/>
    </row>
    <row r="392">
      <c r="D392" s="5" t="n">
        <v>289</v>
      </c>
      <c r="E392" s="5" t="n">
        <v>289</v>
      </c>
      <c r="F392" s="5" t="inlineStr">
        <is>
          <t>سكن العاملين تركيب انابيب بلاستيك د</t>
        </is>
      </c>
      <c r="G392" s="5" t="inlineStr">
        <is>
          <t>أعمال ميكانيك 79</t>
        </is>
      </c>
      <c r="H392" s="5" t="inlineStr">
        <is>
          <t>كالبند السابق , أنابيب UPVC قطر 40 مم - درجة 4</t>
        </is>
      </c>
      <c r="I392" s="11" t="inlineStr">
        <is>
          <t>نعم</t>
        </is>
      </c>
      <c r="J392" s="11" t="n">
        <v>2062</v>
      </c>
      <c r="K392" s="11" t="inlineStr">
        <is>
          <t>لا يوجد مرفقات</t>
        </is>
      </c>
      <c r="L392" s="11" t="inlineStr">
        <is>
          <t>مط</t>
        </is>
      </c>
      <c r="M392" s="11" t="n">
        <v>25</v>
      </c>
      <c r="N392" s="22" t="n">
        <v>60</v>
      </c>
      <c r="O392" s="25">
        <f>N392*M392</f>
        <v/>
      </c>
      <c r="P392" s="23" t="n">
        <v>1500</v>
      </c>
    </row>
    <row r="393">
      <c r="D393" s="5" t="n">
        <v>290</v>
      </c>
      <c r="E393" s="5" t="n">
        <v>290</v>
      </c>
      <c r="F393" s="5" t="inlineStr">
        <is>
          <t>سكن العاملين تركيب انابيب بلاستيك ه</t>
        </is>
      </c>
      <c r="G393" s="5" t="inlineStr">
        <is>
          <t>أعمال ميكانيك 80</t>
        </is>
      </c>
      <c r="H393" s="5" t="inlineStr">
        <is>
          <t>كالبند السابق , أنابيب UPVC قطر 32 مم - درجة 4</t>
        </is>
      </c>
      <c r="I393" s="11" t="inlineStr">
        <is>
          <t>نعم</t>
        </is>
      </c>
      <c r="J393" s="11" t="n">
        <v>2062</v>
      </c>
      <c r="K393" s="11" t="inlineStr">
        <is>
          <t>لا يوجد مرفقات</t>
        </is>
      </c>
      <c r="L393" s="11" t="inlineStr">
        <is>
          <t>مط</t>
        </is>
      </c>
      <c r="M393" s="11" t="n">
        <v>50</v>
      </c>
      <c r="N393" s="22" t="n">
        <v>50</v>
      </c>
      <c r="O393" s="25">
        <f>N393*M393</f>
        <v/>
      </c>
      <c r="P393" s="23" t="n">
        <v>2500</v>
      </c>
    </row>
    <row r="394" ht="34.8" customHeight="1">
      <c r="D394" s="5" t="n">
        <v>291</v>
      </c>
      <c r="E394" s="5" t="n">
        <v>291</v>
      </c>
      <c r="F394" s="5" t="inlineStr">
        <is>
          <t>سكن العاملين تركيب صفاية مياه امطار</t>
        </is>
      </c>
      <c r="G394" s="5" t="inlineStr">
        <is>
          <t>أعمال ميكانيك 81</t>
        </is>
      </c>
      <c r="H394" s="5" t="inlineStr">
        <is>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is>
      </c>
      <c r="I394" s="11" t="inlineStr">
        <is>
          <t>نعم</t>
        </is>
      </c>
      <c r="J394" s="11" t="n">
        <v>2064</v>
      </c>
      <c r="K394" s="11" t="inlineStr">
        <is>
          <t>لا يوجد مرفقات</t>
        </is>
      </c>
      <c r="L394" s="11" t="inlineStr">
        <is>
          <t>عدد</t>
        </is>
      </c>
      <c r="M394" s="11" t="n">
        <v>4</v>
      </c>
      <c r="N394" s="22" t="n">
        <v>350</v>
      </c>
      <c r="O394" s="25">
        <f>N394*M394</f>
        <v/>
      </c>
      <c r="P394" s="23" t="n">
        <v>1400</v>
      </c>
    </row>
    <row r="395">
      <c r="D395" s="5" t="n">
        <v>292</v>
      </c>
      <c r="E395" s="5" t="n">
        <v>292</v>
      </c>
      <c r="F395" s="5" t="inlineStr">
        <is>
          <t>سكن العاملين تركيب انابيب بلاستيك 50 مم</t>
        </is>
      </c>
      <c r="G395" s="5" t="inlineStr">
        <is>
          <t>أعمال ميكانيك 82</t>
        </is>
      </c>
      <c r="H395" s="5" t="inlineStr">
        <is>
          <t>كالبند السابق , مواسير PP قطر 50 مم</t>
        </is>
      </c>
      <c r="I395" s="11" t="inlineStr">
        <is>
          <t>نعم</t>
        </is>
      </c>
      <c r="J395" s="11" t="n">
        <v>2100</v>
      </c>
      <c r="K395" s="11" t="inlineStr">
        <is>
          <t>لا يوجد مرفقات</t>
        </is>
      </c>
      <c r="L395" s="11" t="inlineStr">
        <is>
          <t>مط</t>
        </is>
      </c>
      <c r="M395" s="11" t="n">
        <v>25</v>
      </c>
      <c r="N395" s="22" t="n">
        <v>70</v>
      </c>
      <c r="O395" s="25">
        <f>N395*M395</f>
        <v/>
      </c>
      <c r="P395" s="23" t="n">
        <v>1750</v>
      </c>
    </row>
    <row r="396">
      <c r="D396" s="5" t="n">
        <v>293</v>
      </c>
      <c r="E396" s="5" t="n">
        <v>293</v>
      </c>
      <c r="F396" s="5" t="inlineStr">
        <is>
          <t>سكن العاملين تركيب انابيب بلاستيك 32 مم</t>
        </is>
      </c>
      <c r="G396" s="5" t="inlineStr">
        <is>
          <t>أعمال ميكانيك 83</t>
        </is>
      </c>
      <c r="H396" s="5" t="inlineStr">
        <is>
          <t>كالبند السابق , مواسير PP قطر 32 مم</t>
        </is>
      </c>
      <c r="I396" s="11" t="inlineStr">
        <is>
          <t>نعم</t>
        </is>
      </c>
      <c r="J396" s="11" t="n">
        <v>2100</v>
      </c>
      <c r="K396" s="11" t="inlineStr">
        <is>
          <t>لا يوجد مرفقات</t>
        </is>
      </c>
      <c r="L396" s="11" t="inlineStr">
        <is>
          <t>مط</t>
        </is>
      </c>
      <c r="M396" s="11" t="n">
        <v>30</v>
      </c>
      <c r="N396" s="22" t="n">
        <v>50</v>
      </c>
      <c r="O396" s="25">
        <f>N396*M396</f>
        <v/>
      </c>
      <c r="P396" s="23" t="n">
        <v>1500</v>
      </c>
    </row>
    <row r="397">
      <c r="D397" s="5" t="n">
        <v>294</v>
      </c>
      <c r="E397" s="5" t="n">
        <v>294</v>
      </c>
      <c r="F397" s="5" t="inlineStr">
        <is>
          <t>سكن العاملين تركيب انابيب بلاستيك 25 مم</t>
        </is>
      </c>
      <c r="G397" s="5" t="inlineStr">
        <is>
          <t>أعمال ميكانيك 84</t>
        </is>
      </c>
      <c r="H397" s="5" t="inlineStr">
        <is>
          <t>كالبند السابق , مواسير PP قطر 25 مم</t>
        </is>
      </c>
      <c r="I397" s="11" t="inlineStr">
        <is>
          <t>نعم</t>
        </is>
      </c>
      <c r="J397" s="11" t="n">
        <v>2100</v>
      </c>
      <c r="K397" s="11" t="inlineStr">
        <is>
          <t>لا يوجد مرفقات</t>
        </is>
      </c>
      <c r="L397" s="11" t="inlineStr">
        <is>
          <t>مط</t>
        </is>
      </c>
      <c r="M397" s="11" t="n">
        <v>20</v>
      </c>
      <c r="N397" s="22" t="n">
        <v>40</v>
      </c>
      <c r="O397" s="25">
        <f>N397*M397</f>
        <v/>
      </c>
      <c r="P397" s="23" t="n">
        <v>800</v>
      </c>
    </row>
    <row r="398">
      <c r="D398" s="4" t="inlineStr">
        <is>
          <t>الرقم التسلسلي</t>
        </is>
      </c>
      <c r="E398" s="4" t="inlineStr">
        <is>
          <t>الفئة</t>
        </is>
      </c>
      <c r="F398" s="4" t="inlineStr">
        <is>
          <t>البند</t>
        </is>
      </c>
      <c r="G398" s="4" t="inlineStr">
        <is>
          <t>وصف البند</t>
        </is>
      </c>
      <c r="H398" s="4" t="inlineStr">
        <is>
          <t>المواصفات</t>
        </is>
      </c>
      <c r="I398" s="9" t="inlineStr">
        <is>
          <t>منتج من القائمة الإلزامية</t>
        </is>
      </c>
      <c r="J398" s="9" t="inlineStr">
        <is>
          <t>الرمز الإنشائي</t>
        </is>
      </c>
      <c r="K398" s="9" t="inlineStr">
        <is>
          <t>مرفقات</t>
        </is>
      </c>
      <c r="L398" s="9" t="inlineStr">
        <is>
          <t>وحدة القياس</t>
        </is>
      </c>
      <c r="M398" s="9" t="inlineStr">
        <is>
          <t>الكمية</t>
        </is>
      </c>
      <c r="N398" s="20" t="inlineStr">
        <is>
          <t>سعر الوحدة</t>
        </is>
      </c>
      <c r="O398" s="20" t="inlineStr">
        <is>
          <t>الإجمالي</t>
        </is>
      </c>
      <c r="P398" s="13" t="n"/>
    </row>
    <row r="399">
      <c r="D399" s="21" t="n"/>
      <c r="E399" s="21" t="n"/>
      <c r="F399" s="21" t="n"/>
      <c r="G399" s="21" t="n"/>
      <c r="H399" s="21" t="n"/>
      <c r="I399" s="21" t="n"/>
      <c r="J399" s="21" t="n"/>
      <c r="K399" s="21" t="n"/>
      <c r="L399" s="21" t="n"/>
      <c r="M399" s="21" t="n"/>
      <c r="N399" s="21" t="n"/>
      <c r="O399" s="21" t="n"/>
      <c r="P399" s="13" t="n"/>
    </row>
    <row r="400">
      <c r="D400" s="5" t="n">
        <v>295</v>
      </c>
      <c r="E400" s="5" t="n">
        <v>295</v>
      </c>
      <c r="F400" s="5" t="inlineStr">
        <is>
          <t>سكن العاملين تركيب انابيب بلاستيك 20 مم</t>
        </is>
      </c>
      <c r="G400" s="5" t="inlineStr">
        <is>
          <t>أعمال ميكانيك 85</t>
        </is>
      </c>
      <c r="H400" s="5" t="inlineStr">
        <is>
          <t>كالبند السابق , مواسير PP قطر 20 مم</t>
        </is>
      </c>
      <c r="I400" s="11" t="inlineStr">
        <is>
          <t>نعم</t>
        </is>
      </c>
      <c r="J400" s="11" t="n">
        <v>2100</v>
      </c>
      <c r="K400" s="11" t="inlineStr">
        <is>
          <t>لا يوجد مرفقات</t>
        </is>
      </c>
      <c r="L400" s="11" t="inlineStr">
        <is>
          <t>مط</t>
        </is>
      </c>
      <c r="M400" s="11" t="n">
        <v>15</v>
      </c>
      <c r="N400" s="22" t="n">
        <v>35</v>
      </c>
      <c r="O400" s="25">
        <f>N400*M400</f>
        <v/>
      </c>
      <c r="P400" s="23" t="n">
        <v>525</v>
      </c>
    </row>
    <row r="401" ht="34.8" customHeight="1">
      <c r="D401" s="5" t="n">
        <v>296</v>
      </c>
      <c r="E401" s="5" t="n">
        <v>296</v>
      </c>
      <c r="F401" s="5" t="inlineStr">
        <is>
          <t>سكن العاملين سخان مياه كهربائى سعه 30 لتر</t>
        </is>
      </c>
      <c r="G401" s="5" t="inlineStr">
        <is>
          <t>أعمال ميكانيك 86</t>
        </is>
      </c>
      <c r="H401" s="5" t="inlineStr">
        <is>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is>
      </c>
      <c r="I401" s="11" t="inlineStr">
        <is>
          <t>لا</t>
        </is>
      </c>
      <c r="J401" s="11" t="n"/>
      <c r="K401" s="11" t="inlineStr">
        <is>
          <t>لا يوجد مرفقات</t>
        </is>
      </c>
      <c r="L401" s="11" t="inlineStr">
        <is>
          <t>عدد</t>
        </is>
      </c>
      <c r="M401" s="11" t="n">
        <v>1</v>
      </c>
      <c r="N401" s="22" t="n">
        <v>560</v>
      </c>
      <c r="O401" s="25">
        <f>N401*M401</f>
        <v/>
      </c>
      <c r="P401" s="23" t="n">
        <v>560</v>
      </c>
    </row>
    <row r="402" ht="34.8" customHeight="1">
      <c r="D402" s="5" t="n">
        <v>297</v>
      </c>
      <c r="E402" s="5" t="n">
        <v>297</v>
      </c>
      <c r="F402" s="5" t="inlineStr">
        <is>
          <t>سكن العاملين تركيب سخان مياه كهربائي 80 لتر</t>
        </is>
      </c>
      <c r="G402" s="5" t="inlineStr">
        <is>
          <t>أعمال ميكانيك 87</t>
        </is>
      </c>
      <c r="H402" s="5" t="inlineStr">
        <is>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is>
      </c>
      <c r="I402" s="11" t="inlineStr">
        <is>
          <t>نعم</t>
        </is>
      </c>
      <c r="J402" s="11" t="n">
        <v>2063</v>
      </c>
      <c r="K402" s="11" t="inlineStr">
        <is>
          <t>لا يوجد مرفقات</t>
        </is>
      </c>
      <c r="L402" s="11" t="inlineStr">
        <is>
          <t>عدد</t>
        </is>
      </c>
      <c r="M402" s="11" t="n">
        <v>1</v>
      </c>
      <c r="N402" s="22" t="n">
        <v>840</v>
      </c>
      <c r="O402" s="25">
        <f>N402*M402</f>
        <v/>
      </c>
      <c r="P402" s="23" t="n">
        <v>840</v>
      </c>
    </row>
    <row r="403" ht="69.59999999999999" customHeight="1">
      <c r="D403" s="5" t="n">
        <v>298</v>
      </c>
      <c r="E403" s="5" t="n">
        <v>298</v>
      </c>
      <c r="F403" s="5" t="inlineStr">
        <is>
          <t>سكن العاملين تركيب خزان علوي</t>
        </is>
      </c>
      <c r="G403" s="5" t="inlineStr">
        <is>
          <t>أعمال ميكانيك 88</t>
        </is>
      </c>
      <c r="H403" s="5" t="inlineStr">
        <is>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is>
      </c>
      <c r="I403" s="11" t="inlineStr">
        <is>
          <t>نعم</t>
        </is>
      </c>
      <c r="J403" s="11" t="n">
        <v>2067</v>
      </c>
      <c r="K403" s="11" t="inlineStr">
        <is>
          <t>لا يوجد مرفقات</t>
        </is>
      </c>
      <c r="L403" s="11" t="inlineStr">
        <is>
          <t>عدد</t>
        </is>
      </c>
      <c r="M403" s="11" t="n">
        <v>2</v>
      </c>
      <c r="N403" s="22" t="n">
        <v>3500</v>
      </c>
      <c r="O403" s="25">
        <f>N403*M403</f>
        <v/>
      </c>
      <c r="P403" s="23" t="n">
        <v>7000</v>
      </c>
    </row>
    <row r="404">
      <c r="D404" s="5" t="n">
        <v>299</v>
      </c>
      <c r="E404" s="5" t="n">
        <v>299</v>
      </c>
      <c r="F404" s="5" t="inlineStr">
        <is>
          <t>سكن العاملين تركيب محابس 50 ملم</t>
        </is>
      </c>
      <c r="G404" s="5" t="inlineStr">
        <is>
          <t>أعمال ميكانيك 89</t>
        </is>
      </c>
      <c r="H404" s="5" t="inlineStr">
        <is>
          <t>بالعدد توريد وتركيب محابس من أجود الأنواع عند مداخل المياه لكل حمام أو مطبخ وذلك بقطر 50ملم</t>
        </is>
      </c>
      <c r="I404" s="11" t="inlineStr">
        <is>
          <t>نعم</t>
        </is>
      </c>
      <c r="J404" s="11" t="n">
        <v>2058</v>
      </c>
      <c r="K404" s="11" t="inlineStr">
        <is>
          <t>لا يوجد مرفقات</t>
        </is>
      </c>
      <c r="L404" s="11" t="inlineStr">
        <is>
          <t>عدد</t>
        </is>
      </c>
      <c r="M404" s="11" t="n">
        <v>1</v>
      </c>
      <c r="N404" s="22" t="n">
        <v>350</v>
      </c>
      <c r="O404" s="25">
        <f>N404*M404</f>
        <v/>
      </c>
      <c r="P404" s="23" t="n">
        <v>350</v>
      </c>
    </row>
    <row r="405">
      <c r="D405" s="5" t="n">
        <v>300</v>
      </c>
      <c r="E405" s="5" t="n">
        <v>300</v>
      </c>
      <c r="F405" s="5" t="inlineStr">
        <is>
          <t>سكن العاملين تركيب محابس 25 ملم</t>
        </is>
      </c>
      <c r="G405" s="5" t="inlineStr">
        <is>
          <t>أعمال ميكانيك 90</t>
        </is>
      </c>
      <c r="H405" s="5" t="inlineStr">
        <is>
          <t>كالبند السابق محبس قطر 25 ملم</t>
        </is>
      </c>
      <c r="I405" s="11" t="inlineStr">
        <is>
          <t>نعم</t>
        </is>
      </c>
      <c r="J405" s="11" t="n">
        <v>2058</v>
      </c>
      <c r="K405" s="11" t="inlineStr">
        <is>
          <t>لا يوجد مرفقات</t>
        </is>
      </c>
      <c r="L405" s="11" t="inlineStr">
        <is>
          <t>عدد</t>
        </is>
      </c>
      <c r="M405" s="11" t="n">
        <v>1</v>
      </c>
      <c r="N405" s="22" t="n">
        <v>350</v>
      </c>
      <c r="O405" s="25">
        <f>N405*M405</f>
        <v/>
      </c>
      <c r="P405" s="23" t="n">
        <v>350</v>
      </c>
    </row>
    <row r="406">
      <c r="D406" s="4" t="inlineStr">
        <is>
          <t>الرقم التسلسلي</t>
        </is>
      </c>
      <c r="E406" s="4" t="inlineStr">
        <is>
          <t>الفئة</t>
        </is>
      </c>
      <c r="F406" s="4" t="inlineStr">
        <is>
          <t>البند</t>
        </is>
      </c>
      <c r="G406" s="4" t="inlineStr">
        <is>
          <t>وصف البند</t>
        </is>
      </c>
      <c r="H406" s="4" t="inlineStr">
        <is>
          <t>المواصفات</t>
        </is>
      </c>
      <c r="I406" s="9" t="inlineStr">
        <is>
          <t>منتج من القائمة الإلزامية</t>
        </is>
      </c>
      <c r="J406" s="9" t="inlineStr">
        <is>
          <t>الرمز الإنشائي</t>
        </is>
      </c>
      <c r="K406" s="9" t="inlineStr">
        <is>
          <t>مرفقات</t>
        </is>
      </c>
      <c r="L406" s="9" t="inlineStr">
        <is>
          <t>وحدة القياس</t>
        </is>
      </c>
      <c r="M406" s="9" t="inlineStr">
        <is>
          <t>الكمية</t>
        </is>
      </c>
      <c r="N406" s="20" t="inlineStr">
        <is>
          <t>سعر الوحدة</t>
        </is>
      </c>
      <c r="O406" s="20" t="inlineStr">
        <is>
          <t>الإجمالي</t>
        </is>
      </c>
      <c r="P406" s="13" t="n"/>
    </row>
    <row r="407">
      <c r="D407" s="21" t="n"/>
      <c r="E407" s="21" t="n"/>
      <c r="F407" s="21" t="n"/>
      <c r="G407" s="21" t="n"/>
      <c r="H407" s="21" t="n"/>
      <c r="I407" s="21" t="n"/>
      <c r="J407" s="21" t="n"/>
      <c r="K407" s="21" t="n"/>
      <c r="L407" s="21" t="n"/>
      <c r="M407" s="21" t="n"/>
      <c r="N407" s="21" t="n"/>
      <c r="O407" s="21" t="n"/>
      <c r="P407" s="13" t="n"/>
    </row>
    <row r="408">
      <c r="D408" s="5" t="n">
        <v>301</v>
      </c>
      <c r="E408" s="5" t="n">
        <v>301</v>
      </c>
      <c r="F408" s="5" t="inlineStr">
        <is>
          <t>سكن العاملين تركيب مانع للمطرقة المائية</t>
        </is>
      </c>
      <c r="G408" s="5" t="inlineStr">
        <is>
          <t>أعمال ميكانيك 91</t>
        </is>
      </c>
      <c r="H408" s="5" t="inlineStr">
        <is>
          <t>مانع للمطرقة المائية WHA</t>
        </is>
      </c>
      <c r="I408" s="11" t="inlineStr">
        <is>
          <t>لا</t>
        </is>
      </c>
      <c r="J408" s="11" t="n"/>
      <c r="K408" s="11" t="inlineStr">
        <is>
          <t>لا يوجد مرفقات</t>
        </is>
      </c>
      <c r="L408" s="11" t="inlineStr">
        <is>
          <t>عدد</t>
        </is>
      </c>
      <c r="M408" s="11" t="n">
        <v>2</v>
      </c>
      <c r="N408" s="22" t="n">
        <v>350</v>
      </c>
      <c r="O408" s="25">
        <f>N408*M408</f>
        <v/>
      </c>
      <c r="P408" s="23" t="n">
        <v>700</v>
      </c>
    </row>
    <row r="409" ht="104.4" customHeight="1">
      <c r="D409" s="5" t="n">
        <v>302</v>
      </c>
      <c r="E409" s="5" t="n">
        <v>302</v>
      </c>
      <c r="F409" s="5" t="inlineStr">
        <is>
          <t>سكن العاملين اعمال مكافحة الحريق</t>
        </is>
      </c>
      <c r="G409" s="5" t="inlineStr">
        <is>
          <t>أعمال ميكانيك 92</t>
        </is>
      </c>
      <c r="H409" s="5" t="inlineStr">
        <is>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is>
      </c>
      <c r="I409" s="11" t="inlineStr">
        <is>
          <t>لا</t>
        </is>
      </c>
      <c r="J409" s="11" t="n"/>
      <c r="K409" s="11" t="inlineStr">
        <is>
          <t>لا يوجد مرفقات</t>
        </is>
      </c>
      <c r="L409" s="11" t="inlineStr">
        <is>
          <t>عدد</t>
        </is>
      </c>
      <c r="M409" s="11" t="n">
        <v>4</v>
      </c>
      <c r="N409" s="22" t="n">
        <v>3500</v>
      </c>
      <c r="O409" s="25">
        <f>N409*M409</f>
        <v/>
      </c>
      <c r="P409" s="23" t="n">
        <v>14000</v>
      </c>
    </row>
    <row r="410" ht="52.2" customHeight="1">
      <c r="D410" s="5" t="n">
        <v>303</v>
      </c>
      <c r="E410" s="5" t="n">
        <v>303</v>
      </c>
      <c r="F410" s="5" t="inlineStr">
        <is>
          <t>سكن العاملين تركيب مواسير 80 مم</t>
        </is>
      </c>
      <c r="G410" s="5" t="inlineStr">
        <is>
          <t>أعمال ميكانيك 93</t>
        </is>
      </c>
      <c r="H410" s="5" t="inlineStr">
        <is>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is>
      </c>
      <c r="I410" s="11" t="inlineStr">
        <is>
          <t>نعم</t>
        </is>
      </c>
      <c r="J410" s="11" t="n">
        <v>2055</v>
      </c>
      <c r="K410" s="11" t="inlineStr">
        <is>
          <t>لا يوجد مرفقات</t>
        </is>
      </c>
      <c r="L410" s="11" t="inlineStr">
        <is>
          <t>مط</t>
        </is>
      </c>
      <c r="M410" s="11" t="n">
        <v>12</v>
      </c>
      <c r="N410" s="22" t="n">
        <v>100</v>
      </c>
      <c r="O410" s="25">
        <f>N410*M410</f>
        <v/>
      </c>
      <c r="P410" s="23" t="n">
        <v>1200</v>
      </c>
    </row>
    <row r="411">
      <c r="D411" s="5" t="n">
        <v>304</v>
      </c>
      <c r="E411" s="5" t="n">
        <v>304</v>
      </c>
      <c r="F411" s="5" t="inlineStr">
        <is>
          <t>سكن العاملين تركيب مواسير 65 مم</t>
        </is>
      </c>
      <c r="G411" s="5" t="inlineStr">
        <is>
          <t>أعمال ميكانيك 94</t>
        </is>
      </c>
      <c r="H411" s="5" t="inlineStr">
        <is>
          <t>كالبند السابق , مواسير قطر 65 مم</t>
        </is>
      </c>
      <c r="I411" s="11" t="inlineStr">
        <is>
          <t>نعم</t>
        </is>
      </c>
      <c r="J411" s="11" t="n">
        <v>2055</v>
      </c>
      <c r="K411" s="11" t="inlineStr">
        <is>
          <t>لا يوجد مرفقات</t>
        </is>
      </c>
      <c r="L411" s="11" t="inlineStr">
        <is>
          <t>مط</t>
        </is>
      </c>
      <c r="M411" s="11" t="n">
        <v>6</v>
      </c>
      <c r="N411" s="22" t="n">
        <v>100</v>
      </c>
      <c r="O411" s="25">
        <f>N411*M411</f>
        <v/>
      </c>
      <c r="P411" s="23" t="n">
        <v>600</v>
      </c>
    </row>
    <row r="412" ht="52.2" customHeight="1">
      <c r="D412" s="5" t="n">
        <v>305</v>
      </c>
      <c r="E412" s="5" t="n">
        <v>305</v>
      </c>
      <c r="F412" s="5" t="inlineStr">
        <is>
          <t>سكن العاملين تركيب مساليب واكواع</t>
        </is>
      </c>
      <c r="G412" s="5" t="inlineStr">
        <is>
          <t>أعمال ميكانيك 95</t>
        </is>
      </c>
      <c r="H412" s="5" t="inlineStr">
        <is>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is>
      </c>
      <c r="I412" s="11" t="inlineStr">
        <is>
          <t>نعم</t>
        </is>
      </c>
      <c r="J412" s="11" t="n">
        <v>2058</v>
      </c>
      <c r="K412" s="11" t="inlineStr">
        <is>
          <t>لا يوجد مرفقات</t>
        </is>
      </c>
      <c r="L412" s="11" t="inlineStr">
        <is>
          <t>مط</t>
        </is>
      </c>
      <c r="M412" s="11" t="n">
        <v>5</v>
      </c>
      <c r="N412" s="22" t="n">
        <v>140</v>
      </c>
      <c r="O412" s="25">
        <f>N412*M412</f>
        <v/>
      </c>
      <c r="P412" s="23" t="n">
        <v>700</v>
      </c>
    </row>
    <row r="413" ht="34.8" customHeight="1">
      <c r="D413" s="5" t="n">
        <v>306</v>
      </c>
      <c r="E413" s="5" t="n">
        <v>306</v>
      </c>
      <c r="F413" s="5" t="inlineStr">
        <is>
          <t>سكن العاملين تركيب طفايات حريق</t>
        </is>
      </c>
      <c r="G413" s="5" t="inlineStr">
        <is>
          <t>أعمال ميكانيك 96</t>
        </is>
      </c>
      <c r="H413" s="5" t="inlineStr">
        <is>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is>
      </c>
      <c r="I413" s="11" t="inlineStr">
        <is>
          <t>نعم</t>
        </is>
      </c>
      <c r="J413" s="11" t="n">
        <v>2053</v>
      </c>
      <c r="K413" s="11" t="inlineStr">
        <is>
          <t>لا يوجد مرفقات</t>
        </is>
      </c>
      <c r="L413" s="11" t="inlineStr">
        <is>
          <t>عدد</t>
        </is>
      </c>
      <c r="M413" s="11" t="n">
        <v>2</v>
      </c>
      <c r="N413" s="22" t="n">
        <v>840</v>
      </c>
      <c r="O413" s="25">
        <f>N413*M413</f>
        <v/>
      </c>
      <c r="P413" s="23" t="n">
        <v>1680</v>
      </c>
    </row>
    <row r="414">
      <c r="D414" s="4" t="inlineStr">
        <is>
          <t>لرقم التسلسلي</t>
        </is>
      </c>
      <c r="E414" s="4" t="inlineStr">
        <is>
          <t>الفئة</t>
        </is>
      </c>
      <c r="F414" s="4" t="inlineStr">
        <is>
          <t>البند</t>
        </is>
      </c>
      <c r="G414" s="4" t="inlineStr">
        <is>
          <t>وصف البند</t>
        </is>
      </c>
      <c r="H414" s="4" t="inlineStr">
        <is>
          <t>المواصفات</t>
        </is>
      </c>
      <c r="I414" s="9" t="inlineStr">
        <is>
          <t>منتج من القائمة الإلزامية</t>
        </is>
      </c>
      <c r="J414" s="9" t="inlineStr">
        <is>
          <t>الرمز الإنشائي</t>
        </is>
      </c>
      <c r="K414" s="9" t="inlineStr">
        <is>
          <t>مرفقات</t>
        </is>
      </c>
      <c r="L414" s="9" t="inlineStr">
        <is>
          <t>وحدة القياس</t>
        </is>
      </c>
      <c r="M414" s="9" t="inlineStr">
        <is>
          <t>الكمية</t>
        </is>
      </c>
      <c r="N414" s="20" t="inlineStr">
        <is>
          <t>سعر الوحدة</t>
        </is>
      </c>
      <c r="O414" s="20" t="inlineStr">
        <is>
          <t>الإجمالي</t>
        </is>
      </c>
      <c r="P414" s="13" t="n"/>
    </row>
    <row r="415">
      <c r="D415" s="21" t="n"/>
      <c r="E415" s="21" t="n"/>
      <c r="F415" s="21" t="n"/>
      <c r="G415" s="21" t="n"/>
      <c r="H415" s="21" t="n"/>
      <c r="I415" s="21" t="n"/>
      <c r="J415" s="21" t="n"/>
      <c r="K415" s="21" t="n"/>
      <c r="L415" s="21" t="n"/>
      <c r="M415" s="21" t="n"/>
      <c r="N415" s="21" t="n"/>
      <c r="O415" s="21" t="n"/>
      <c r="P415" s="13" t="n"/>
    </row>
    <row r="416" ht="69.59999999999999" customHeight="1">
      <c r="D416" s="5" t="n">
        <v>307</v>
      </c>
      <c r="E416" s="5" t="n">
        <v>307</v>
      </c>
      <c r="F416" s="5" t="inlineStr">
        <is>
          <t>مبنى العيادة تركيب مكيف 18000 وحدة</t>
        </is>
      </c>
      <c r="G416" s="5" t="inlineStr">
        <is>
          <t>أعمال ميكانيك 97</t>
        </is>
      </c>
      <c r="H416" s="5" t="inlineStr">
        <is>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is>
      </c>
      <c r="I416" s="11" t="inlineStr">
        <is>
          <t>نعم</t>
        </is>
      </c>
      <c r="J416" s="11" t="n">
        <v>2078</v>
      </c>
      <c r="K416" s="11" t="inlineStr">
        <is>
          <t>لا يوجد مرفقات</t>
        </is>
      </c>
      <c r="L416" s="11" t="inlineStr">
        <is>
          <t>عدد</t>
        </is>
      </c>
      <c r="M416" s="11" t="n">
        <v>3</v>
      </c>
      <c r="N416" s="22" t="n">
        <v>5600</v>
      </c>
      <c r="O416" s="25">
        <f>N416*M416</f>
        <v/>
      </c>
      <c r="P416" s="23" t="n">
        <v>16800</v>
      </c>
    </row>
    <row r="417" ht="34.8" customHeight="1">
      <c r="D417" s="5" t="n">
        <v>308</v>
      </c>
      <c r="E417" s="5" t="n">
        <v>308</v>
      </c>
      <c r="F417" s="5" t="inlineStr">
        <is>
          <t>مبنى العيادة تركيب مروحة شفط هواء 50 لتر</t>
        </is>
      </c>
      <c r="G417" s="5" t="inlineStr">
        <is>
          <t>أعمال ميكانيك 98</t>
        </is>
      </c>
      <c r="H417" s="5" t="inlineStr">
        <is>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is>
      </c>
      <c r="I417" s="11" t="inlineStr">
        <is>
          <t>نعم</t>
        </is>
      </c>
      <c r="J417" s="11" t="n">
        <v>2079</v>
      </c>
      <c r="K417" s="11" t="inlineStr">
        <is>
          <t>لا يوجد مرفقات</t>
        </is>
      </c>
      <c r="L417" s="11" t="inlineStr">
        <is>
          <t>عدد</t>
        </is>
      </c>
      <c r="M417" s="11" t="n">
        <v>3</v>
      </c>
      <c r="N417" s="22" t="n">
        <v>700</v>
      </c>
      <c r="O417" s="25">
        <f>N417*M417</f>
        <v/>
      </c>
      <c r="P417" s="23" t="n">
        <v>2100</v>
      </c>
    </row>
    <row r="418" ht="34.8" customHeight="1">
      <c r="D418" s="5" t="n">
        <v>309</v>
      </c>
      <c r="E418" s="5" t="n">
        <v>309</v>
      </c>
      <c r="F418" s="5" t="inlineStr">
        <is>
          <t>مبنى العيادة تركيب مروحة شفط هواء 150 لتر</t>
        </is>
      </c>
      <c r="G418" s="5" t="inlineStr">
        <is>
          <t>أعمال ميكانيك 99</t>
        </is>
      </c>
      <c r="H418" s="5" t="inlineStr">
        <is>
          <t>كالبند السابق مروحه شفط هواء بتدفق ( 150 لتر/ث)</t>
        </is>
      </c>
      <c r="I418" s="11" t="inlineStr">
        <is>
          <t>نعم</t>
        </is>
      </c>
      <c r="J418" s="11" t="n">
        <v>2079</v>
      </c>
      <c r="K418" s="11" t="inlineStr">
        <is>
          <t>لا يوجد مرفقات</t>
        </is>
      </c>
      <c r="L418" s="11" t="inlineStr">
        <is>
          <t>عدد</t>
        </is>
      </c>
      <c r="M418" s="11" t="n">
        <v>3</v>
      </c>
      <c r="N418" s="22" t="n">
        <v>2500</v>
      </c>
      <c r="O418" s="25">
        <f>N418*M418</f>
        <v/>
      </c>
      <c r="P418" s="23" t="n">
        <v>7500</v>
      </c>
    </row>
    <row r="419" ht="34.8" customHeight="1">
      <c r="D419" s="5" t="n">
        <v>310</v>
      </c>
      <c r="E419" s="5" t="n">
        <v>310</v>
      </c>
      <c r="F419" s="5" t="inlineStr">
        <is>
          <t>مبنى العيادة تركيب الاجهزة الصحية</t>
        </is>
      </c>
      <c r="G419" s="5" t="inlineStr">
        <is>
          <t>أعمال ميكانيك 100</t>
        </is>
      </c>
      <c r="H419" s="5" t="inlineStr">
        <is>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is>
      </c>
      <c r="I419" s="11" t="inlineStr">
        <is>
          <t>نعم</t>
        </is>
      </c>
      <c r="J419" s="11" t="n">
        <v>2058</v>
      </c>
      <c r="K419" s="11" t="inlineStr">
        <is>
          <t>لا يوجد مرفقات</t>
        </is>
      </c>
      <c r="L419" s="11" t="inlineStr">
        <is>
          <t>عدد</t>
        </is>
      </c>
      <c r="M419" s="11" t="n">
        <v>3</v>
      </c>
      <c r="N419" s="22" t="n">
        <v>700</v>
      </c>
      <c r="O419" s="25">
        <f>N419*M419</f>
        <v/>
      </c>
      <c r="P419" s="23" t="n">
        <v>2100</v>
      </c>
    </row>
    <row r="420" ht="34.8" customHeight="1">
      <c r="D420" s="5" t="n">
        <v>311</v>
      </c>
      <c r="E420" s="5" t="n">
        <v>311</v>
      </c>
      <c r="F420" s="5" t="inlineStr">
        <is>
          <t>مبنى العيادة تركيب كرسى مرحاض</t>
        </is>
      </c>
      <c r="G420" s="5" t="inlineStr">
        <is>
          <t>أعمال ميكانيك 101</t>
        </is>
      </c>
      <c r="H420" s="5" t="inlineStr">
        <is>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is>
      </c>
      <c r="I420" s="11" t="inlineStr">
        <is>
          <t>نعم</t>
        </is>
      </c>
      <c r="J420" s="11" t="n">
        <v>2058</v>
      </c>
      <c r="K420" s="11" t="inlineStr">
        <is>
          <t>لا يوجد مرفقات</t>
        </is>
      </c>
      <c r="L420" s="11" t="inlineStr">
        <is>
          <t>عدد</t>
        </is>
      </c>
      <c r="M420" s="11" t="n">
        <v>3</v>
      </c>
      <c r="N420" s="22" t="n">
        <v>700</v>
      </c>
      <c r="O420" s="25">
        <f>N420*M420</f>
        <v/>
      </c>
      <c r="P420" s="23" t="n">
        <v>2100</v>
      </c>
    </row>
    <row r="421">
      <c r="D421" s="5" t="n">
        <v>312</v>
      </c>
      <c r="E421" s="5" t="n">
        <v>312</v>
      </c>
      <c r="F421" s="5" t="inlineStr">
        <is>
          <t>مبنى العيادة تركيب حامل مناديل ورقية</t>
        </is>
      </c>
      <c r="G421" s="5" t="inlineStr">
        <is>
          <t>أعمال ميكانيك 102</t>
        </is>
      </c>
      <c r="H421" s="5" t="inlineStr">
        <is>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is>
      </c>
      <c r="I421" s="11" t="inlineStr">
        <is>
          <t>نعم</t>
        </is>
      </c>
      <c r="J421" s="11" t="n">
        <v>2058</v>
      </c>
      <c r="K421" s="11" t="inlineStr">
        <is>
          <t>لا يوجد مرفقات</t>
        </is>
      </c>
      <c r="L421" s="11" t="inlineStr">
        <is>
          <t>عدد</t>
        </is>
      </c>
      <c r="M421" s="11" t="n">
        <v>3</v>
      </c>
      <c r="N421" s="22" t="n">
        <v>205</v>
      </c>
      <c r="O421" s="25">
        <f>N421*M421</f>
        <v/>
      </c>
      <c r="P421" s="23" t="n">
        <v>615</v>
      </c>
    </row>
    <row r="422">
      <c r="D422" s="4" t="inlineStr">
        <is>
          <t>لرقم التسلسلي</t>
        </is>
      </c>
      <c r="E422" s="4" t="inlineStr">
        <is>
          <t>الفئة</t>
        </is>
      </c>
      <c r="F422" s="4" t="inlineStr">
        <is>
          <t>البند</t>
        </is>
      </c>
      <c r="G422" s="4" t="inlineStr">
        <is>
          <t>وصف البند</t>
        </is>
      </c>
      <c r="H422" s="4" t="inlineStr">
        <is>
          <t>المواصفات</t>
        </is>
      </c>
      <c r="I422" s="9" t="inlineStr">
        <is>
          <t>منتج من القائمة الإلزامية</t>
        </is>
      </c>
      <c r="J422" s="9" t="inlineStr">
        <is>
          <t>الرمز الإنشائي</t>
        </is>
      </c>
      <c r="K422" s="9" t="inlineStr">
        <is>
          <t>مرفقات</t>
        </is>
      </c>
      <c r="L422" s="9" t="inlineStr">
        <is>
          <t>وحدة القياس</t>
        </is>
      </c>
      <c r="M422" s="9" t="inlineStr">
        <is>
          <t>الكمية</t>
        </is>
      </c>
      <c r="N422" s="20" t="inlineStr">
        <is>
          <t>سعر الوحدة</t>
        </is>
      </c>
      <c r="O422" s="20" t="inlineStr">
        <is>
          <t>الإجمالي</t>
        </is>
      </c>
      <c r="P422" s="13" t="n"/>
    </row>
    <row r="423">
      <c r="D423" s="21" t="n"/>
      <c r="E423" s="21" t="n"/>
      <c r="F423" s="21" t="n"/>
      <c r="G423" s="21" t="n"/>
      <c r="H423" s="21" t="n"/>
      <c r="I423" s="21" t="n"/>
      <c r="J423" s="21" t="n"/>
      <c r="K423" s="21" t="n"/>
      <c r="L423" s="21" t="n"/>
      <c r="M423" s="21" t="n"/>
      <c r="N423" s="21" t="n"/>
      <c r="O423" s="21" t="n"/>
      <c r="P423" s="13" t="n"/>
    </row>
    <row r="424" ht="34.8" customHeight="1">
      <c r="D424" s="5" t="n">
        <v>313</v>
      </c>
      <c r="E424" s="5" t="n">
        <v>313</v>
      </c>
      <c r="F424" s="5" t="inlineStr">
        <is>
          <t>مبنى العيادة تركيب مواسير بلاستيك أ</t>
        </is>
      </c>
      <c r="G424" s="5" t="inlineStr">
        <is>
          <t>أعمال ميكانيك 103</t>
        </is>
      </c>
      <c r="H424" s="5" t="inlineStr">
        <is>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is>
      </c>
      <c r="I424" s="11" t="inlineStr">
        <is>
          <t>نعم</t>
        </is>
      </c>
      <c r="J424" s="11" t="n">
        <v>2058</v>
      </c>
      <c r="K424" s="11" t="inlineStr">
        <is>
          <t>لا يوجد مرفقات</t>
        </is>
      </c>
      <c r="L424" s="11" t="inlineStr">
        <is>
          <t>مط</t>
        </is>
      </c>
      <c r="M424" s="11" t="n">
        <v>20</v>
      </c>
      <c r="N424" s="22" t="n">
        <v>160</v>
      </c>
      <c r="O424" s="25">
        <f>N424*M424</f>
        <v/>
      </c>
      <c r="P424" s="23" t="n">
        <v>3200</v>
      </c>
    </row>
    <row r="425">
      <c r="D425" s="5" t="n">
        <v>314</v>
      </c>
      <c r="E425" s="5" t="n">
        <v>314</v>
      </c>
      <c r="F425" s="5" t="inlineStr">
        <is>
          <t>مبنى العيادة تركيب مواسير بلاستيك ب</t>
        </is>
      </c>
      <c r="G425" s="5" t="inlineStr">
        <is>
          <t>أعمال ميكانيك 104</t>
        </is>
      </c>
      <c r="H425" s="5" t="inlineStr">
        <is>
          <t>كالبند السابق , أنابيب UPVC قطر 75 مم - درجة 4</t>
        </is>
      </c>
      <c r="I425" s="11" t="inlineStr">
        <is>
          <t>نعم</t>
        </is>
      </c>
      <c r="J425" s="11" t="n">
        <v>2062</v>
      </c>
      <c r="K425" s="11" t="inlineStr">
        <is>
          <t>لا يوجد مرفقات</t>
        </is>
      </c>
      <c r="L425" s="11" t="inlineStr">
        <is>
          <t>مط</t>
        </is>
      </c>
      <c r="M425" s="11" t="n">
        <v>15</v>
      </c>
      <c r="N425" s="22" t="n">
        <v>120</v>
      </c>
      <c r="O425" s="25">
        <f>N425*M425</f>
        <v/>
      </c>
      <c r="P425" s="23" t="n">
        <v>1800</v>
      </c>
    </row>
    <row r="426">
      <c r="D426" s="5" t="n">
        <v>315</v>
      </c>
      <c r="E426" s="5" t="n">
        <v>315</v>
      </c>
      <c r="F426" s="5" t="inlineStr">
        <is>
          <t>مبنى العيادة تركيب مواسير بلاستيك ج</t>
        </is>
      </c>
      <c r="G426" s="5" t="inlineStr">
        <is>
          <t>أعمال ميكانيك 105</t>
        </is>
      </c>
      <c r="H426" s="5" t="inlineStr">
        <is>
          <t>كالبند السابق , أنابيب UPVC قطر 50 مم - درجة 4</t>
        </is>
      </c>
      <c r="I426" s="11" t="inlineStr">
        <is>
          <t>نعم</t>
        </is>
      </c>
      <c r="J426" s="11" t="n">
        <v>2062</v>
      </c>
      <c r="K426" s="11" t="inlineStr">
        <is>
          <t>لا يوجد مرفقات</t>
        </is>
      </c>
      <c r="L426" s="11" t="inlineStr">
        <is>
          <t>مط</t>
        </is>
      </c>
      <c r="M426" s="11" t="n">
        <v>2</v>
      </c>
      <c r="N426" s="22" t="n">
        <v>70</v>
      </c>
      <c r="O426" s="25">
        <f>N426*M426</f>
        <v/>
      </c>
      <c r="P426" s="23" t="n">
        <v>140</v>
      </c>
    </row>
    <row r="427">
      <c r="D427" s="5" t="n">
        <v>316</v>
      </c>
      <c r="E427" s="5" t="n">
        <v>316</v>
      </c>
      <c r="F427" s="5" t="inlineStr">
        <is>
          <t>مبنى العيادة تركيب مواسير بلاستيك د</t>
        </is>
      </c>
      <c r="G427" s="5" t="inlineStr">
        <is>
          <t>أعمال ميكانيك 106</t>
        </is>
      </c>
      <c r="H427" s="5" t="inlineStr">
        <is>
          <t>كالبند السابق , أنابيب UPVC قطر 25 مم - درجة 4</t>
        </is>
      </c>
      <c r="I427" s="11" t="inlineStr">
        <is>
          <t>نعم</t>
        </is>
      </c>
      <c r="J427" s="11" t="n">
        <v>2062</v>
      </c>
      <c r="K427" s="11" t="inlineStr">
        <is>
          <t>لا يوجد مرفقات</t>
        </is>
      </c>
      <c r="L427" s="11" t="inlineStr">
        <is>
          <t>مط</t>
        </is>
      </c>
      <c r="M427" s="11" t="n">
        <v>5</v>
      </c>
      <c r="N427" s="22" t="n">
        <v>35</v>
      </c>
      <c r="O427" s="25">
        <f>N427*M427</f>
        <v/>
      </c>
      <c r="P427" s="23" t="n">
        <v>175</v>
      </c>
    </row>
    <row r="428" ht="34.8" customHeight="1">
      <c r="D428" s="5" t="n">
        <v>317</v>
      </c>
      <c r="E428" s="5" t="n">
        <v>317</v>
      </c>
      <c r="F428" s="5" t="inlineStr">
        <is>
          <t>مبنى العيادة تركيب صفيات جرجوري</t>
        </is>
      </c>
      <c r="G428" s="5" t="inlineStr">
        <is>
          <t>أعمال ميكانيك 107</t>
        </is>
      </c>
      <c r="H428" s="5" t="inlineStr">
        <is>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is>
      </c>
      <c r="I428" s="11" t="inlineStr">
        <is>
          <t>نعم</t>
        </is>
      </c>
      <c r="J428" s="11" t="n">
        <v>2058</v>
      </c>
      <c r="K428" s="11" t="inlineStr">
        <is>
          <t>لا يوجد مرفقات</t>
        </is>
      </c>
      <c r="L428" s="11" t="inlineStr">
        <is>
          <t>عدد</t>
        </is>
      </c>
      <c r="M428" s="11" t="n">
        <v>3</v>
      </c>
      <c r="N428" s="22" t="n">
        <v>700</v>
      </c>
      <c r="O428" s="25">
        <f>N428*M428</f>
        <v/>
      </c>
      <c r="P428" s="23" t="n">
        <v>2100</v>
      </c>
    </row>
    <row r="429" ht="34.8" customHeight="1">
      <c r="D429" s="5" t="n">
        <v>318</v>
      </c>
      <c r="E429" s="5" t="n">
        <v>318</v>
      </c>
      <c r="F429" s="5" t="inlineStr">
        <is>
          <t>مبنى العيادة تركيب صفاية ارضية 75 مم</t>
        </is>
      </c>
      <c r="G429" s="5" t="inlineStr">
        <is>
          <t>أعمال ميكانيك 108</t>
        </is>
      </c>
      <c r="H429" s="5" t="inlineStr">
        <is>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is>
      </c>
      <c r="I429" s="11" t="inlineStr">
        <is>
          <t>نعم</t>
        </is>
      </c>
      <c r="J429" s="11" t="n">
        <v>2058</v>
      </c>
      <c r="K429" s="11" t="inlineStr">
        <is>
          <t>لا يوجد مرفقات</t>
        </is>
      </c>
      <c r="L429" s="11" t="inlineStr">
        <is>
          <t>عدد</t>
        </is>
      </c>
      <c r="M429" s="11" t="n">
        <v>3</v>
      </c>
      <c r="N429" s="22" t="n">
        <v>350</v>
      </c>
      <c r="O429" s="25">
        <f>N429*M429</f>
        <v/>
      </c>
      <c r="P429" s="23" t="n">
        <v>1050</v>
      </c>
    </row>
    <row r="430">
      <c r="D430" s="4" t="inlineStr">
        <is>
          <t>الرقم التسلسلي</t>
        </is>
      </c>
      <c r="E430" s="4" t="inlineStr">
        <is>
          <t>الفئة</t>
        </is>
      </c>
      <c r="F430" s="4" t="inlineStr">
        <is>
          <t>البند</t>
        </is>
      </c>
      <c r="G430" s="4" t="inlineStr">
        <is>
          <t>وصف البند</t>
        </is>
      </c>
      <c r="H430" s="4" t="inlineStr">
        <is>
          <t>المواصفات</t>
        </is>
      </c>
      <c r="I430" s="9" t="inlineStr">
        <is>
          <t>منتج من القائمة الإلزامية</t>
        </is>
      </c>
      <c r="J430" s="9" t="inlineStr">
        <is>
          <t>الرمز الإنشائي</t>
        </is>
      </c>
      <c r="K430" s="9" t="inlineStr">
        <is>
          <t>مرفقات</t>
        </is>
      </c>
      <c r="L430" s="9" t="inlineStr">
        <is>
          <t>وحدة القياس</t>
        </is>
      </c>
      <c r="M430" s="9" t="inlineStr">
        <is>
          <t>الكمية</t>
        </is>
      </c>
      <c r="N430" s="20" t="inlineStr">
        <is>
          <t>سعر الوحدة</t>
        </is>
      </c>
      <c r="O430" s="20" t="inlineStr">
        <is>
          <t>الإجمالي</t>
        </is>
      </c>
      <c r="P430" s="13" t="n"/>
    </row>
    <row r="431">
      <c r="D431" s="21" t="n"/>
      <c r="E431" s="21" t="n"/>
      <c r="F431" s="21" t="n"/>
      <c r="G431" s="21" t="n"/>
      <c r="H431" s="21" t="n"/>
      <c r="I431" s="21" t="n"/>
      <c r="J431" s="21" t="n"/>
      <c r="K431" s="21" t="n"/>
      <c r="L431" s="21" t="n"/>
      <c r="M431" s="21" t="n"/>
      <c r="N431" s="21" t="n"/>
      <c r="O431" s="21" t="n"/>
      <c r="P431" s="13" t="n"/>
    </row>
    <row r="432">
      <c r="D432" s="5" t="n">
        <v>319</v>
      </c>
      <c r="E432" s="5" t="n">
        <v>319</v>
      </c>
      <c r="F432" s="5" t="inlineStr">
        <is>
          <t>مبنى العيادة تركيب طبة تسليك 75 مم</t>
        </is>
      </c>
      <c r="G432" s="5" t="inlineStr">
        <is>
          <t>أعمال ميكانيك 109</t>
        </is>
      </c>
      <c r="H432" s="5" t="inlineStr">
        <is>
          <t>بالعدد توريد وتركيب وتشغيل تجريبي واختبار طبات تسليك أرضية قطر 75مم ذات غطاء من الأستانلس ستييل طبقا للمواصفات والمخططات وأعتماد المهندس المشرف</t>
        </is>
      </c>
      <c r="I432" s="11" t="inlineStr">
        <is>
          <t>نعم</t>
        </is>
      </c>
      <c r="J432" s="11" t="n">
        <v>2058</v>
      </c>
      <c r="K432" s="11" t="inlineStr">
        <is>
          <t>لا يوجد مرفقات</t>
        </is>
      </c>
      <c r="L432" s="11" t="inlineStr">
        <is>
          <t>عدد</t>
        </is>
      </c>
      <c r="M432" s="11" t="n">
        <v>3</v>
      </c>
      <c r="N432" s="22" t="n">
        <v>350</v>
      </c>
      <c r="O432" s="25">
        <f>N432*M432</f>
        <v/>
      </c>
      <c r="P432" s="23" t="n">
        <v>1050</v>
      </c>
    </row>
    <row r="433">
      <c r="D433" s="5" t="n">
        <v>320</v>
      </c>
      <c r="E433" s="5" t="n">
        <v>320</v>
      </c>
      <c r="F433" s="5" t="inlineStr">
        <is>
          <t>مبنى العيادة تركيب طبة تسليك 110 مم</t>
        </is>
      </c>
      <c r="G433" s="5" t="inlineStr">
        <is>
          <t>أعمال ميكانيك 110</t>
        </is>
      </c>
      <c r="H433" s="5" t="inlineStr">
        <is>
          <t>كالبند السابق طبة تسليك قطر 110مم</t>
        </is>
      </c>
      <c r="I433" s="11" t="inlineStr">
        <is>
          <t>نعم</t>
        </is>
      </c>
      <c r="J433" s="11" t="n">
        <v>2058</v>
      </c>
      <c r="K433" s="11" t="inlineStr">
        <is>
          <t>لا يوجد مرفقات</t>
        </is>
      </c>
      <c r="L433" s="11" t="inlineStr">
        <is>
          <t>عدد</t>
        </is>
      </c>
      <c r="M433" s="11" t="n">
        <v>3</v>
      </c>
      <c r="N433" s="22" t="n">
        <v>350</v>
      </c>
      <c r="O433" s="25">
        <f>N433*M433</f>
        <v/>
      </c>
      <c r="P433" s="23" t="n">
        <v>1050</v>
      </c>
    </row>
    <row r="434" ht="52.2" customHeight="1">
      <c r="D434" s="5" t="n">
        <v>321</v>
      </c>
      <c r="E434" s="5" t="n">
        <v>321</v>
      </c>
      <c r="F434" s="5" t="inlineStr">
        <is>
          <t>مبنى العيادة تركيب مواسير بلاستيك 25 مم</t>
        </is>
      </c>
      <c r="G434" s="5" t="inlineStr">
        <is>
          <t>أعمال ميكانيك 111</t>
        </is>
      </c>
      <c r="H434" s="5" t="inlineStr">
        <is>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is>
      </c>
      <c r="I434" s="11" t="inlineStr">
        <is>
          <t>نعم</t>
        </is>
      </c>
      <c r="J434" s="11" t="n">
        <v>2058</v>
      </c>
      <c r="K434" s="11" t="inlineStr">
        <is>
          <t>لا يوجد مرفقات</t>
        </is>
      </c>
      <c r="L434" s="11" t="inlineStr">
        <is>
          <t>مط</t>
        </is>
      </c>
      <c r="M434" s="11" t="n">
        <v>20</v>
      </c>
      <c r="N434" s="22" t="n">
        <v>40</v>
      </c>
      <c r="O434" s="25">
        <f>N434*M434</f>
        <v/>
      </c>
      <c r="P434" s="23" t="n">
        <v>800</v>
      </c>
    </row>
    <row r="435">
      <c r="D435" s="5" t="n">
        <v>322</v>
      </c>
      <c r="E435" s="5" t="n">
        <v>322</v>
      </c>
      <c r="F435" s="5" t="inlineStr">
        <is>
          <t>مبنى العيادة تركيب مواسير بلاستيك 20 مم</t>
        </is>
      </c>
      <c r="G435" s="5" t="inlineStr">
        <is>
          <t>أعمال ميكانيك 112</t>
        </is>
      </c>
      <c r="H435" s="5" t="inlineStr">
        <is>
          <t>كالبند السابق , مواسير PP قطر 20 مم</t>
        </is>
      </c>
      <c r="I435" s="11" t="inlineStr">
        <is>
          <t>نعم</t>
        </is>
      </c>
      <c r="J435" s="11" t="n">
        <v>2058</v>
      </c>
      <c r="K435" s="11" t="inlineStr">
        <is>
          <t>لا يوجد مرفقات</t>
        </is>
      </c>
      <c r="L435" s="11" t="inlineStr">
        <is>
          <t>مط</t>
        </is>
      </c>
      <c r="M435" s="11" t="n">
        <v>10</v>
      </c>
      <c r="N435" s="22" t="n">
        <v>40</v>
      </c>
      <c r="O435" s="25">
        <f>N435*M435</f>
        <v/>
      </c>
      <c r="P435" s="23" t="n">
        <v>400</v>
      </c>
    </row>
    <row r="436">
      <c r="D436" s="5" t="n">
        <v>323</v>
      </c>
      <c r="E436" s="5" t="n">
        <v>323</v>
      </c>
      <c r="F436" s="5" t="inlineStr">
        <is>
          <t>مبنى العيادة تركيب مواسير بلاستيك 32 مم</t>
        </is>
      </c>
      <c r="G436" s="5" t="inlineStr">
        <is>
          <t>أعمال ميكانيك 113</t>
        </is>
      </c>
      <c r="H436" s="5" t="inlineStr">
        <is>
          <t>كالبند السابق , مواسير PP قطر 32 مم</t>
        </is>
      </c>
      <c r="I436" s="11" t="inlineStr">
        <is>
          <t>نعم</t>
        </is>
      </c>
      <c r="J436" s="11" t="n">
        <v>2058</v>
      </c>
      <c r="K436" s="11" t="inlineStr">
        <is>
          <t>لا يوجد مرفقات</t>
        </is>
      </c>
      <c r="L436" s="11" t="inlineStr">
        <is>
          <t>مط</t>
        </is>
      </c>
      <c r="M436" s="11" t="n">
        <v>15</v>
      </c>
      <c r="N436" s="22" t="n">
        <v>50</v>
      </c>
      <c r="O436" s="25">
        <f>N436*M436</f>
        <v/>
      </c>
      <c r="P436" s="23" t="n">
        <v>750</v>
      </c>
    </row>
    <row r="437" ht="34.8" customHeight="1">
      <c r="D437" s="5" t="n">
        <v>324</v>
      </c>
      <c r="E437" s="5" t="n">
        <v>324</v>
      </c>
      <c r="F437" s="5" t="inlineStr">
        <is>
          <t>مبنى العيادة تركيب سخان مياه كهربائى 50 لتر</t>
        </is>
      </c>
      <c r="G437" s="5" t="inlineStr">
        <is>
          <t>أعمال ميكانيك 114</t>
        </is>
      </c>
      <c r="H437" s="5" t="inlineStr">
        <is>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is>
      </c>
      <c r="I437" s="11" t="inlineStr">
        <is>
          <t>نعم</t>
        </is>
      </c>
      <c r="J437" s="11" t="n">
        <v>2063</v>
      </c>
      <c r="K437" s="11" t="inlineStr">
        <is>
          <t>لا يوجد مرفقات</t>
        </is>
      </c>
      <c r="L437" s="11" t="inlineStr">
        <is>
          <t>عدد</t>
        </is>
      </c>
      <c r="M437" s="11" t="n">
        <v>6</v>
      </c>
      <c r="N437" s="22" t="n">
        <v>560</v>
      </c>
      <c r="O437" s="25">
        <f>N437*M437</f>
        <v/>
      </c>
      <c r="P437" s="23" t="n">
        <v>3360</v>
      </c>
    </row>
    <row r="438">
      <c r="D438" s="4" t="inlineStr">
        <is>
          <t>لرقم التسلسلي</t>
        </is>
      </c>
      <c r="E438" s="4" t="inlineStr">
        <is>
          <t>الفئة</t>
        </is>
      </c>
      <c r="F438" s="4" t="inlineStr">
        <is>
          <t>البند</t>
        </is>
      </c>
      <c r="G438" s="4" t="inlineStr">
        <is>
          <t>وصف البند</t>
        </is>
      </c>
      <c r="H438" s="4" t="inlineStr">
        <is>
          <t>المواصفات</t>
        </is>
      </c>
      <c r="I438" s="9" t="inlineStr">
        <is>
          <t>منتج من القائمة الإلزامية</t>
        </is>
      </c>
      <c r="J438" s="9" t="inlineStr">
        <is>
          <t>الرمز الإنشائي</t>
        </is>
      </c>
      <c r="K438" s="9" t="inlineStr">
        <is>
          <t>مرفقات</t>
        </is>
      </c>
      <c r="L438" s="9" t="inlineStr">
        <is>
          <t>وحدة القياس</t>
        </is>
      </c>
      <c r="M438" s="9" t="inlineStr">
        <is>
          <t>الكمية</t>
        </is>
      </c>
      <c r="N438" s="20" t="inlineStr">
        <is>
          <t>سعر الوحدة</t>
        </is>
      </c>
      <c r="O438" s="20" t="inlineStr">
        <is>
          <t>الإجمالي</t>
        </is>
      </c>
      <c r="P438" s="13" t="n"/>
    </row>
    <row r="439">
      <c r="D439" s="21" t="n"/>
      <c r="E439" s="21" t="n"/>
      <c r="F439" s="21" t="n"/>
      <c r="G439" s="21" t="n"/>
      <c r="H439" s="21" t="n"/>
      <c r="I439" s="21" t="n"/>
      <c r="J439" s="21" t="n"/>
      <c r="K439" s="21" t="n"/>
      <c r="L439" s="21" t="n"/>
      <c r="M439" s="21" t="n"/>
      <c r="N439" s="21" t="n"/>
      <c r="O439" s="21" t="n"/>
      <c r="P439" s="13" t="n"/>
    </row>
    <row r="440" ht="69.59999999999999" customHeight="1">
      <c r="D440" s="5" t="n">
        <v>325</v>
      </c>
      <c r="E440" s="5" t="n">
        <v>325</v>
      </c>
      <c r="F440" s="5" t="inlineStr">
        <is>
          <t>مبنى العيادة تركيب خزان مياه علوي</t>
        </is>
      </c>
      <c r="G440" s="5" t="inlineStr">
        <is>
          <t>أعمال ميكانيك 115</t>
        </is>
      </c>
      <c r="H440" s="5" t="inlineStr">
        <is>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is>
      </c>
      <c r="I440" s="11" t="inlineStr">
        <is>
          <t>نعم</t>
        </is>
      </c>
      <c r="J440" s="11" t="n">
        <v>2067</v>
      </c>
      <c r="K440" s="11" t="inlineStr">
        <is>
          <t>لا يوجد مرفقات</t>
        </is>
      </c>
      <c r="L440" s="11" t="inlineStr">
        <is>
          <t>عدد</t>
        </is>
      </c>
      <c r="M440" s="11" t="n">
        <v>6</v>
      </c>
      <c r="N440" s="22" t="n">
        <v>7000</v>
      </c>
      <c r="O440" s="25">
        <f>N440*M440</f>
        <v/>
      </c>
      <c r="P440" s="23" t="n">
        <v>42000</v>
      </c>
      <c r="Q440" s="1" t="inlineStr">
        <is>
          <t>هل سعة الخزان 500 لتر فقط</t>
        </is>
      </c>
    </row>
    <row r="441">
      <c r="D441" s="5" t="n">
        <v>326</v>
      </c>
      <c r="E441" s="5" t="n">
        <v>326</v>
      </c>
      <c r="F441" s="5" t="inlineStr">
        <is>
          <t>مبنى العيادة محابس 25 ملم</t>
        </is>
      </c>
      <c r="G441" s="5" t="inlineStr">
        <is>
          <t>أعمال ميكانيك 116</t>
        </is>
      </c>
      <c r="H441" s="5" t="inlineStr">
        <is>
          <t>بالعدد توريد وتركيب محابس من أجود الأنواع عند مداخل المياه لكل حمام أو مطبخ وذلك بقطر 25ملم</t>
        </is>
      </c>
      <c r="I441" s="11" t="inlineStr">
        <is>
          <t>نعم</t>
        </is>
      </c>
      <c r="J441" s="11" t="n">
        <v>2058</v>
      </c>
      <c r="K441" s="11" t="inlineStr">
        <is>
          <t>لا يوجد مرفقات</t>
        </is>
      </c>
      <c r="L441" s="11" t="inlineStr">
        <is>
          <t>عدد</t>
        </is>
      </c>
      <c r="M441" s="11" t="n">
        <v>6</v>
      </c>
      <c r="N441" s="22" t="n">
        <v>350</v>
      </c>
      <c r="O441" s="25">
        <f>N441*M441</f>
        <v/>
      </c>
      <c r="P441" s="23" t="n">
        <v>2100</v>
      </c>
    </row>
    <row r="442">
      <c r="D442" s="5" t="n">
        <v>327</v>
      </c>
      <c r="E442" s="5" t="n">
        <v>327</v>
      </c>
      <c r="F442" s="5" t="inlineStr">
        <is>
          <t>مبنى العيادة تركيب مانع للمطرقة المائية</t>
        </is>
      </c>
      <c r="G442" s="5" t="inlineStr">
        <is>
          <t>أعمال ميكانيك 117</t>
        </is>
      </c>
      <c r="H442" s="5" t="inlineStr">
        <is>
          <t>مانع للمطرقة المائية WHA</t>
        </is>
      </c>
      <c r="I442" s="11" t="inlineStr">
        <is>
          <t>لا</t>
        </is>
      </c>
      <c r="J442" s="11" t="n"/>
      <c r="K442" s="11" t="inlineStr">
        <is>
          <t>لا يوجد مرفقات</t>
        </is>
      </c>
      <c r="L442" s="11" t="inlineStr">
        <is>
          <t>عدد</t>
        </is>
      </c>
      <c r="M442" s="11" t="n">
        <v>6</v>
      </c>
      <c r="N442" s="22" t="n">
        <v>350</v>
      </c>
      <c r="O442" s="25">
        <f>N442*M442</f>
        <v/>
      </c>
      <c r="P442" s="23" t="n">
        <v>2100</v>
      </c>
    </row>
    <row r="443" ht="87" customHeight="1">
      <c r="D443" s="5" t="n">
        <v>328</v>
      </c>
      <c r="E443" s="5" t="n">
        <v>328</v>
      </c>
      <c r="F443" s="5" t="inlineStr">
        <is>
          <t>مبنى العيادة اعمال مكافحه الحريق</t>
        </is>
      </c>
      <c r="G443" s="5" t="inlineStr">
        <is>
          <t>أعمال ميكانيك 118</t>
        </is>
      </c>
      <c r="H443" s="5" t="inlineStr">
        <is>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is>
      </c>
      <c r="I443" s="11" t="inlineStr">
        <is>
          <t>لا</t>
        </is>
      </c>
      <c r="J443" s="11" t="n"/>
      <c r="K443" s="11" t="inlineStr">
        <is>
          <t>لا يوجد مرفقات</t>
        </is>
      </c>
      <c r="L443" s="11" t="inlineStr">
        <is>
          <t>عدد</t>
        </is>
      </c>
      <c r="M443" s="11" t="n">
        <v>6</v>
      </c>
      <c r="N443" s="22" t="n">
        <v>840</v>
      </c>
      <c r="O443" s="25">
        <f>N443*M443</f>
        <v/>
      </c>
      <c r="P443" s="23" t="n">
        <v>5040</v>
      </c>
    </row>
    <row r="444" ht="34.8" customHeight="1">
      <c r="D444" s="5" t="n">
        <v>329</v>
      </c>
      <c r="E444" s="5" t="n">
        <v>329</v>
      </c>
      <c r="F444" s="5" t="inlineStr">
        <is>
          <t>مبنى مستودع الاعلاف تركيب مروحه شفط هواء</t>
        </is>
      </c>
      <c r="G444" s="5" t="inlineStr">
        <is>
          <t>أعمال ميكانيك 119</t>
        </is>
      </c>
      <c r="H444" s="5" t="inlineStr">
        <is>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is>
      </c>
      <c r="I444" s="11" t="inlineStr">
        <is>
          <t>نعم</t>
        </is>
      </c>
      <c r="J444" s="11" t="n">
        <v>2079</v>
      </c>
      <c r="K444" s="11" t="inlineStr">
        <is>
          <t>لا يوجد مرفقات</t>
        </is>
      </c>
      <c r="L444" s="11" t="inlineStr">
        <is>
          <t>عدد</t>
        </is>
      </c>
      <c r="M444" s="11" t="n">
        <v>11</v>
      </c>
      <c r="N444" s="22" t="n">
        <v>48300</v>
      </c>
      <c r="O444" s="25">
        <f>N444*M444</f>
        <v/>
      </c>
      <c r="P444" s="23" t="n">
        <v>531300</v>
      </c>
    </row>
    <row r="445" ht="34.8" customHeight="1">
      <c r="D445" s="5" t="n">
        <v>330</v>
      </c>
      <c r="E445" s="5" t="n">
        <v>330</v>
      </c>
      <c r="F445" s="5" t="inlineStr">
        <is>
          <t>مبنى مستودع الاعلاف تركيب فتحات مصيدة الرمال</t>
        </is>
      </c>
      <c r="G445" s="5" t="inlineStr">
        <is>
          <t>أعمال ميكانيك 120</t>
        </is>
      </c>
      <c r="H445" s="5" t="inlineStr">
        <is>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is>
      </c>
      <c r="I445" s="11" t="inlineStr">
        <is>
          <t>لا</t>
        </is>
      </c>
      <c r="J445" s="11" t="n"/>
      <c r="K445" s="11" t="inlineStr">
        <is>
          <t>لا يوجد مرفقات</t>
        </is>
      </c>
      <c r="L445" s="11" t="inlineStr">
        <is>
          <t>عدد</t>
        </is>
      </c>
      <c r="M445" s="11" t="n">
        <v>11</v>
      </c>
      <c r="N445" s="22" t="n">
        <v>1400</v>
      </c>
      <c r="O445" s="25">
        <f>N445*M445</f>
        <v/>
      </c>
      <c r="P445" s="23" t="n">
        <v>15400</v>
      </c>
    </row>
    <row r="446">
      <c r="D446" s="4" t="inlineStr">
        <is>
          <t>الرقم التسلسلي</t>
        </is>
      </c>
      <c r="E446" s="4" t="inlineStr">
        <is>
          <t>الفئة</t>
        </is>
      </c>
      <c r="F446" s="4" t="inlineStr">
        <is>
          <t>البند</t>
        </is>
      </c>
      <c r="G446" s="4" t="inlineStr">
        <is>
          <t>وصف البند</t>
        </is>
      </c>
      <c r="H446" s="4" t="inlineStr">
        <is>
          <t>المواصفات</t>
        </is>
      </c>
      <c r="I446" s="9" t="inlineStr">
        <is>
          <t>منتج من القائمة الإلزامية</t>
        </is>
      </c>
      <c r="J446" s="9" t="inlineStr">
        <is>
          <t>الرمز الإنشائي</t>
        </is>
      </c>
      <c r="K446" s="9" t="inlineStr">
        <is>
          <t>مرفقات</t>
        </is>
      </c>
      <c r="L446" s="9" t="inlineStr">
        <is>
          <t>وحدة القياس</t>
        </is>
      </c>
      <c r="M446" s="9" t="inlineStr">
        <is>
          <t>الكمية</t>
        </is>
      </c>
      <c r="N446" s="20" t="inlineStr">
        <is>
          <t>سعر الوحدة</t>
        </is>
      </c>
      <c r="O446" s="20" t="inlineStr">
        <is>
          <t>الإجمالي</t>
        </is>
      </c>
      <c r="P446" s="13" t="n"/>
    </row>
    <row r="447">
      <c r="D447" s="21" t="n"/>
      <c r="E447" s="21" t="n"/>
      <c r="F447" s="21" t="n"/>
      <c r="G447" s="21" t="n"/>
      <c r="H447" s="21" t="n"/>
      <c r="I447" s="21" t="n"/>
      <c r="J447" s="21" t="n"/>
      <c r="K447" s="21" t="n"/>
      <c r="L447" s="21" t="n"/>
      <c r="M447" s="21" t="n"/>
      <c r="N447" s="21" t="n"/>
      <c r="O447" s="21" t="n"/>
      <c r="P447" s="13" t="n"/>
    </row>
    <row r="448" ht="34.8" customHeight="1">
      <c r="D448" s="5" t="n">
        <v>331</v>
      </c>
      <c r="E448" s="5" t="n">
        <v>331</v>
      </c>
      <c r="F448" s="5" t="inlineStr">
        <is>
          <t>مبنى مستودع الاعلاف تركيب أنابيب بلاستيك 110 مم</t>
        </is>
      </c>
      <c r="G448" s="5" t="inlineStr">
        <is>
          <t>أعمال ميكانيك 121</t>
        </is>
      </c>
      <c r="H448" s="5" t="inlineStr">
        <is>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is>
      </c>
      <c r="I448" s="11" t="inlineStr">
        <is>
          <t>نعم</t>
        </is>
      </c>
      <c r="J448" s="11" t="n">
        <v>2065</v>
      </c>
      <c r="K448" s="11" t="inlineStr">
        <is>
          <t>لا يوجد مرفقات</t>
        </is>
      </c>
      <c r="L448" s="11" t="inlineStr">
        <is>
          <t>مط</t>
        </is>
      </c>
      <c r="M448" s="11" t="n">
        <v>65</v>
      </c>
      <c r="N448" s="22" t="n">
        <v>160</v>
      </c>
      <c r="O448" s="25">
        <f>N448*M448</f>
        <v/>
      </c>
      <c r="P448" s="23" t="n">
        <v>10400</v>
      </c>
    </row>
    <row r="449" ht="34.8" customHeight="1">
      <c r="D449" s="5" t="n">
        <v>332</v>
      </c>
      <c r="E449" s="5" t="n">
        <v>332</v>
      </c>
      <c r="F449" s="5" t="inlineStr">
        <is>
          <t>مبنى مستودع الاعلاف تركيب صفيات مياه أمطار</t>
        </is>
      </c>
      <c r="G449" s="5" t="inlineStr">
        <is>
          <t>أعمال ميكانيك 122</t>
        </is>
      </c>
      <c r="H449" s="5" t="inlineStr">
        <is>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is>
      </c>
      <c r="I449" s="11" t="inlineStr">
        <is>
          <t>نعم</t>
        </is>
      </c>
      <c r="J449" s="11" t="n">
        <v>2064</v>
      </c>
      <c r="K449" s="11" t="inlineStr">
        <is>
          <t>لا يوجد مرفقات</t>
        </is>
      </c>
      <c r="L449" s="11" t="inlineStr">
        <is>
          <t>عدد</t>
        </is>
      </c>
      <c r="M449" s="11" t="n">
        <v>4</v>
      </c>
      <c r="N449" s="22" t="n">
        <v>700</v>
      </c>
      <c r="O449" s="25">
        <f>N449*M449</f>
        <v/>
      </c>
      <c r="P449" s="23" t="n">
        <v>2800</v>
      </c>
    </row>
    <row r="450" ht="104.4" customHeight="1">
      <c r="D450" s="5" t="n">
        <v>333</v>
      </c>
      <c r="E450" s="5" t="n">
        <v>333</v>
      </c>
      <c r="F450" s="5" t="inlineStr">
        <is>
          <t>مبنى مستودع الاعلاف تركيب صناديق لإطفاء الحريق</t>
        </is>
      </c>
      <c r="G450" s="5" t="inlineStr">
        <is>
          <t>أعمال ميكانيك 123</t>
        </is>
      </c>
      <c r="H450" s="5" t="inlineStr">
        <is>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is>
      </c>
      <c r="I450" s="11" t="inlineStr">
        <is>
          <t>لا</t>
        </is>
      </c>
      <c r="J450" s="11" t="n"/>
      <c r="K450" s="11" t="inlineStr">
        <is>
          <t>لا يوجد مرفقات</t>
        </is>
      </c>
      <c r="L450" s="11" t="inlineStr">
        <is>
          <t>عدد</t>
        </is>
      </c>
      <c r="M450" s="11" t="n">
        <v>3</v>
      </c>
      <c r="N450" s="22" t="n">
        <v>3500</v>
      </c>
      <c r="O450" s="25">
        <f>N450*M450</f>
        <v/>
      </c>
      <c r="P450" s="23" t="n">
        <v>10500</v>
      </c>
    </row>
    <row r="451" ht="52.2" customHeight="1">
      <c r="D451" s="5" t="n">
        <v>334</v>
      </c>
      <c r="E451" s="5" t="n">
        <v>334</v>
      </c>
      <c r="F451" s="5" t="inlineStr">
        <is>
          <t>مبنى مستودع الاعلاف تركيب مواسير لتغذية مياه الحريق</t>
        </is>
      </c>
      <c r="G451" s="5" t="inlineStr">
        <is>
          <t>أعمال ميكانيك 124</t>
        </is>
      </c>
      <c r="H451" s="5" t="inlineStr">
        <is>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is>
      </c>
      <c r="I451" s="11" t="inlineStr">
        <is>
          <t>نعم</t>
        </is>
      </c>
      <c r="J451" s="11" t="n">
        <v>2055</v>
      </c>
      <c r="K451" s="11" t="inlineStr">
        <is>
          <t>لا يوجد مرفقات</t>
        </is>
      </c>
      <c r="L451" s="11" t="inlineStr">
        <is>
          <t>مط</t>
        </is>
      </c>
      <c r="M451" s="11" t="n">
        <v>325</v>
      </c>
      <c r="N451" s="22" t="n">
        <v>70</v>
      </c>
      <c r="O451" s="25">
        <f>N451*M451</f>
        <v/>
      </c>
      <c r="P451" s="23" t="n">
        <v>22750</v>
      </c>
    </row>
    <row r="452" ht="34.8" customHeight="1">
      <c r="D452" s="5" t="n">
        <v>335</v>
      </c>
      <c r="E452" s="5" t="n">
        <v>335</v>
      </c>
      <c r="F452" s="5" t="inlineStr">
        <is>
          <t>مبنى مستودع الاعلاف تركيب مواسير 150 مم</t>
        </is>
      </c>
      <c r="G452" s="5" t="inlineStr">
        <is>
          <t>أعمال ميكانيك 125</t>
        </is>
      </c>
      <c r="H452" s="5" t="inlineStr">
        <is>
          <t>كالبند السابق مواسير بقطر ( 150 مم ) 6 بوصة</t>
        </is>
      </c>
      <c r="I452" s="11" t="inlineStr">
        <is>
          <t>نعم</t>
        </is>
      </c>
      <c r="J452" s="11" t="n">
        <v>2055</v>
      </c>
      <c r="K452" s="11" t="inlineStr">
        <is>
          <t>لا يوجد مرفقات</t>
        </is>
      </c>
      <c r="L452" s="11" t="inlineStr">
        <is>
          <t>مط</t>
        </is>
      </c>
      <c r="M452" s="11" t="n">
        <v>185</v>
      </c>
      <c r="N452" s="22" t="n">
        <v>210</v>
      </c>
      <c r="O452" s="25">
        <f>N452*M452</f>
        <v/>
      </c>
      <c r="P452" s="23" t="n">
        <v>38850</v>
      </c>
    </row>
    <row r="453" ht="52.2" customHeight="1">
      <c r="D453" s="5" t="n">
        <v>336</v>
      </c>
      <c r="E453" s="5" t="n">
        <v>336</v>
      </c>
      <c r="F453" s="5" t="inlineStr">
        <is>
          <t>مبنى مستودع الاعلاف أختبار صمام</t>
        </is>
      </c>
      <c r="G453" s="5" t="inlineStr">
        <is>
          <t>أعمال ميكانيك 126</t>
        </is>
      </c>
      <c r="H453" s="5" t="inlineStr">
        <is>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is>
      </c>
      <c r="I453" s="11" t="inlineStr">
        <is>
          <t>لا</t>
        </is>
      </c>
      <c r="J453" s="11" t="n"/>
      <c r="K453" s="11" t="inlineStr">
        <is>
          <t>لا يوجد مرفقات</t>
        </is>
      </c>
      <c r="L453" s="11" t="inlineStr">
        <is>
          <t>عدد</t>
        </is>
      </c>
      <c r="M453" s="11" t="n">
        <v>1</v>
      </c>
      <c r="N453" s="22" t="n">
        <v>2450</v>
      </c>
      <c r="O453" s="25">
        <f>N453*M453</f>
        <v/>
      </c>
      <c r="P453" s="23" t="n">
        <v>2450</v>
      </c>
    </row>
    <row r="454">
      <c r="D454" s="4" t="inlineStr">
        <is>
          <t>لرقم التسلسلي</t>
        </is>
      </c>
      <c r="E454" s="4" t="inlineStr">
        <is>
          <t>الفئة</t>
        </is>
      </c>
      <c r="F454" s="4" t="inlineStr">
        <is>
          <t>البند</t>
        </is>
      </c>
      <c r="G454" s="4" t="inlineStr">
        <is>
          <t>وصف البند</t>
        </is>
      </c>
      <c r="H454" s="4" t="inlineStr">
        <is>
          <t>المواصفات</t>
        </is>
      </c>
      <c r="I454" s="9" t="inlineStr">
        <is>
          <t>منتج من القائمة الإلزامية</t>
        </is>
      </c>
      <c r="J454" s="9" t="inlineStr">
        <is>
          <t>الرمز الإنشائي</t>
        </is>
      </c>
      <c r="K454" s="9" t="inlineStr">
        <is>
          <t>مرفقات</t>
        </is>
      </c>
      <c r="L454" s="9" t="inlineStr">
        <is>
          <t>وحدة القياس</t>
        </is>
      </c>
      <c r="M454" s="9" t="inlineStr">
        <is>
          <t>الكمية</t>
        </is>
      </c>
      <c r="N454" s="20" t="inlineStr">
        <is>
          <t>سعر الوحدة</t>
        </is>
      </c>
      <c r="O454" s="20" t="inlineStr">
        <is>
          <t>الإجمالي</t>
        </is>
      </c>
      <c r="P454" s="13" t="n"/>
    </row>
    <row r="455">
      <c r="D455" s="21" t="n"/>
      <c r="E455" s="21" t="n"/>
      <c r="F455" s="21" t="n"/>
      <c r="G455" s="21" t="n"/>
      <c r="H455" s="21" t="n"/>
      <c r="I455" s="21" t="n"/>
      <c r="J455" s="21" t="n"/>
      <c r="K455" s="21" t="n"/>
      <c r="L455" s="21" t="n"/>
      <c r="M455" s="21" t="n"/>
      <c r="N455" s="21" t="n"/>
      <c r="O455" s="21" t="n"/>
      <c r="P455" s="13" t="n"/>
    </row>
    <row r="456" ht="52.2" customHeight="1">
      <c r="D456" s="5" t="n">
        <v>337</v>
      </c>
      <c r="E456" s="5" t="n">
        <v>337</v>
      </c>
      <c r="F456" s="5" t="inlineStr">
        <is>
          <t>مبنى مستودع الاعلاف صمام التحكم</t>
        </is>
      </c>
      <c r="G456" s="5" t="inlineStr">
        <is>
          <t>أعمال ميكانيك 127</t>
        </is>
      </c>
      <c r="H456" s="5" t="inlineStr">
        <is>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is>
      </c>
      <c r="I456" s="11" t="inlineStr">
        <is>
          <t>لا</t>
        </is>
      </c>
      <c r="J456" s="11" t="n"/>
      <c r="K456" s="11" t="inlineStr">
        <is>
          <t>لا يوجد مرفقات</t>
        </is>
      </c>
      <c r="L456" s="11" t="inlineStr">
        <is>
          <t>عدد</t>
        </is>
      </c>
      <c r="M456" s="11" t="n">
        <v>1</v>
      </c>
      <c r="N456" s="22" t="n">
        <v>4200</v>
      </c>
      <c r="O456" s="25">
        <f>N456*M456</f>
        <v/>
      </c>
      <c r="P456" s="23" t="n">
        <v>4200</v>
      </c>
    </row>
    <row r="457">
      <c r="D457" s="5" t="n">
        <v>338</v>
      </c>
      <c r="E457" s="5" t="n">
        <v>338</v>
      </c>
      <c r="F457" s="5" t="inlineStr">
        <is>
          <t>مبنى مستودع الاعلاف تركيب رشاش</t>
        </is>
      </c>
      <c r="G457" s="5" t="inlineStr">
        <is>
          <t>أعمال ميكانيك 128</t>
        </is>
      </c>
      <c r="H457" s="5" t="inlineStr">
        <is>
          <t>بالعدد توريد و تركيب واختبار رشاش من النوع(UL/FM) ESFR للمخازن كما موضح بالرسومات و المواصفات</t>
        </is>
      </c>
      <c r="I457" s="11" t="inlineStr">
        <is>
          <t>لا</t>
        </is>
      </c>
      <c r="J457" s="11" t="n"/>
      <c r="K457" s="11" t="inlineStr">
        <is>
          <t>لا يوجد مرفقات</t>
        </is>
      </c>
      <c r="L457" s="11" t="inlineStr">
        <is>
          <t>عدد</t>
        </is>
      </c>
      <c r="M457" s="11" t="n">
        <v>211</v>
      </c>
      <c r="N457" s="22" t="n">
        <v>35</v>
      </c>
      <c r="O457" s="25">
        <f>N457*M457</f>
        <v/>
      </c>
      <c r="P457" s="23" t="n">
        <v>7385</v>
      </c>
    </row>
    <row r="458" ht="34.8" customHeight="1">
      <c r="D458" s="5" t="n">
        <v>339</v>
      </c>
      <c r="E458" s="5" t="n">
        <v>339</v>
      </c>
      <c r="F458" s="5" t="inlineStr">
        <is>
          <t>مبنى مستودع الاعلاف تركيب وصلة دفاع مدنى</t>
        </is>
      </c>
      <c r="G458" s="5" t="inlineStr">
        <is>
          <t>أعمال ميكانيك 129</t>
        </is>
      </c>
      <c r="H458" s="5" t="inlineStr">
        <is>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is>
      </c>
      <c r="I458" s="11" t="inlineStr">
        <is>
          <t>لا</t>
        </is>
      </c>
      <c r="J458" s="11" t="n"/>
      <c r="K458" s="11" t="inlineStr">
        <is>
          <t>لا يوجد مرفقات</t>
        </is>
      </c>
      <c r="L458" s="11" t="inlineStr">
        <is>
          <t>عدد</t>
        </is>
      </c>
      <c r="M458" s="11" t="n">
        <v>1</v>
      </c>
      <c r="N458" s="22" t="n">
        <v>3500</v>
      </c>
      <c r="O458" s="25">
        <f>N458*M458</f>
        <v/>
      </c>
      <c r="P458" s="23" t="n">
        <v>3500</v>
      </c>
    </row>
    <row r="459" ht="34.8" customHeight="1">
      <c r="D459" s="5" t="n">
        <v>340</v>
      </c>
      <c r="E459" s="5" t="n">
        <v>340</v>
      </c>
      <c r="F459" s="5" t="inlineStr">
        <is>
          <t>مبنى مستودع الاعلاف تركيب طبليات</t>
        </is>
      </c>
      <c r="G459" s="5" t="inlineStr">
        <is>
          <t>أعمال ميكانيك 130</t>
        </is>
      </c>
      <c r="H459" s="5" t="inlineStr">
        <is>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is>
      </c>
      <c r="I459" s="11" t="inlineStr">
        <is>
          <t>لا</t>
        </is>
      </c>
      <c r="J459" s="11" t="n"/>
      <c r="K459" s="11" t="inlineStr">
        <is>
          <t>لا يوجد مرفقات</t>
        </is>
      </c>
      <c r="L459" s="11" t="inlineStr">
        <is>
          <t>عدد</t>
        </is>
      </c>
      <c r="M459" s="11" t="n">
        <v>1</v>
      </c>
      <c r="N459" s="22" t="n">
        <v>8400</v>
      </c>
      <c r="O459" s="25">
        <f>N459*M459</f>
        <v/>
      </c>
      <c r="P459" s="23" t="n">
        <v>8400</v>
      </c>
    </row>
    <row r="460" ht="34.8" customHeight="1">
      <c r="D460" s="5" t="n">
        <v>341</v>
      </c>
      <c r="E460" s="5" t="n">
        <v>341</v>
      </c>
      <c r="F460" s="5" t="inlineStr">
        <is>
          <t>الموقع العام تركيب لوحة تغذية حلقية</t>
        </is>
      </c>
      <c r="G460" s="5" t="inlineStr">
        <is>
          <t>أعمال كهرباء 1</t>
        </is>
      </c>
      <c r="H460" s="5" t="inlineStr">
        <is>
          <t>توريد وتركيب واختبار وفحص والتشغيل التجريبي لوحدة التغذية الحلقية الرئيسية 138 ك ف مع قاطع الدائرة (200 أمبير) والمصهرات ومفتاح فصل على الحمل 400 أمبير، تردد 60 هيرتز، شاملا العزل الطرفي للكابلات لكابلات 138 ك ف المعزولة (XLPE) وذلك حسبما هو مبين على المخططات والمواصفات الفنية</t>
        </is>
      </c>
      <c r="I460" s="11" t="inlineStr">
        <is>
          <t>لا</t>
        </is>
      </c>
      <c r="J460" s="11" t="n"/>
      <c r="K460" s="11" t="inlineStr">
        <is>
          <t>لا يوجد مرفقات</t>
        </is>
      </c>
      <c r="L460" s="11" t="inlineStr">
        <is>
          <t>عدد</t>
        </is>
      </c>
      <c r="M460" s="11" t="n">
        <v>1</v>
      </c>
      <c r="N460" s="22" t="n">
        <v>87500</v>
      </c>
      <c r="O460" s="25">
        <f>N460*M460</f>
        <v/>
      </c>
      <c r="P460" s="23" t="n">
        <v>87500</v>
      </c>
    </row>
    <row r="461" ht="104.4" customHeight="1">
      <c r="D461" s="5" t="n">
        <v>342</v>
      </c>
      <c r="E461" s="5" t="n">
        <v>342</v>
      </c>
      <c r="F461" s="5" t="inlineStr">
        <is>
          <t>الموقع العام تركيب محول كهربائى</t>
        </is>
      </c>
      <c r="G461" s="5" t="inlineStr">
        <is>
          <t>أعمال كهرباء 2</t>
        </is>
      </c>
      <c r="H461" s="5" t="inlineStr">
        <is>
          <t>أعمال الكهرباء لغرف الكهرباء :المحول الكهربائي: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is>
      </c>
      <c r="I461" s="11" t="inlineStr">
        <is>
          <t>نعم</t>
        </is>
      </c>
      <c r="J461" s="11" t="n">
        <v>2080</v>
      </c>
      <c r="K461" s="11" t="inlineStr">
        <is>
          <t>لا يوجد مرفقات</t>
        </is>
      </c>
      <c r="L461" s="11" t="inlineStr">
        <is>
          <t>عدد</t>
        </is>
      </c>
      <c r="M461" s="11" t="n">
        <v>1</v>
      </c>
      <c r="N461" s="22" t="n">
        <v>175000</v>
      </c>
      <c r="O461" s="25">
        <f>N461*M461</f>
        <v/>
      </c>
      <c r="P461" s="23" t="n">
        <v>175000</v>
      </c>
    </row>
    <row r="462">
      <c r="D462" s="4" t="inlineStr">
        <is>
          <t>لرقم التسلسلي</t>
        </is>
      </c>
      <c r="E462" s="4" t="inlineStr">
        <is>
          <t>الفئة</t>
        </is>
      </c>
      <c r="F462" s="4" t="inlineStr">
        <is>
          <t>البند</t>
        </is>
      </c>
      <c r="G462" s="4" t="inlineStr">
        <is>
          <t>وصف البند</t>
        </is>
      </c>
      <c r="H462" s="4" t="inlineStr">
        <is>
          <t>المواصفات</t>
        </is>
      </c>
      <c r="I462" s="9" t="inlineStr">
        <is>
          <t>منتج من القائمة الإلزامية</t>
        </is>
      </c>
      <c r="J462" s="9" t="inlineStr">
        <is>
          <t>الرمز الإنشائي</t>
        </is>
      </c>
      <c r="K462" s="9" t="inlineStr">
        <is>
          <t>مرفقات</t>
        </is>
      </c>
      <c r="L462" s="9" t="inlineStr">
        <is>
          <t>وحدة القياس</t>
        </is>
      </c>
      <c r="M462" s="9" t="inlineStr">
        <is>
          <t>الكمية</t>
        </is>
      </c>
      <c r="N462" s="20" t="inlineStr">
        <is>
          <t>سعر الوحدة</t>
        </is>
      </c>
      <c r="O462" s="20" t="inlineStr">
        <is>
          <t>الإجمالي</t>
        </is>
      </c>
      <c r="P462" s="13" t="n"/>
    </row>
    <row r="463">
      <c r="D463" s="21" t="n"/>
      <c r="E463" s="21" t="n"/>
      <c r="F463" s="21" t="n"/>
      <c r="G463" s="21" t="n"/>
      <c r="H463" s="21" t="n"/>
      <c r="I463" s="21" t="n"/>
      <c r="J463" s="21" t="n"/>
      <c r="K463" s="21" t="n"/>
      <c r="L463" s="21" t="n"/>
      <c r="M463" s="21" t="n"/>
      <c r="N463" s="21" t="n"/>
      <c r="O463" s="21" t="n"/>
      <c r="P463" s="13" t="n"/>
    </row>
    <row r="464" ht="87" customHeight="1">
      <c r="D464" s="5" t="n">
        <v>343</v>
      </c>
      <c r="E464" s="5" t="n">
        <v>343</v>
      </c>
      <c r="F464" s="5" t="inlineStr">
        <is>
          <t>الموقع العام تركيب مولد كهرباء للطوارئ</t>
        </is>
      </c>
      <c r="G464" s="5" t="inlineStr">
        <is>
          <t>أعمال كهرباء 3</t>
        </is>
      </c>
      <c r="H464" s="5" t="inlineStr">
        <is>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is>
      </c>
      <c r="I464" s="11" t="inlineStr">
        <is>
          <t>نعم</t>
        </is>
      </c>
      <c r="J464" s="11" t="n">
        <v>2080</v>
      </c>
      <c r="K464" s="11" t="inlineStr">
        <is>
          <t>لا يوجد مرفقات</t>
        </is>
      </c>
      <c r="L464" s="11" t="inlineStr">
        <is>
          <t>عدد</t>
        </is>
      </c>
      <c r="M464" s="11" t="n">
        <v>1</v>
      </c>
      <c r="N464" s="22" t="n">
        <v>140000</v>
      </c>
      <c r="O464" s="25">
        <f>N464*M464</f>
        <v/>
      </c>
      <c r="P464" s="23" t="n">
        <v>140000</v>
      </c>
    </row>
    <row r="465" ht="52.2" customHeight="1">
      <c r="D465" s="5" t="n">
        <v>344</v>
      </c>
      <c r="E465" s="5" t="n">
        <v>344</v>
      </c>
      <c r="F465" s="5" t="inlineStr">
        <is>
          <t>الموقع العام تركيب خزان وقود شهري</t>
        </is>
      </c>
      <c r="G465" s="5" t="inlineStr">
        <is>
          <t>أعمال كهرباء 4</t>
        </is>
      </c>
      <c r="H465" s="5" t="inlineStr">
        <is>
          <t>بالعدد توريد وتركيب خزان الوقود الشهري من النوع DOUBLE LAYER بسعة 10000 لتر,علي أن يتم دفنه تحت الارض شامل أعمال الدهانات بمواد إيبوكسية مانعة للصدأ والتاَكل وشبكة الوقود كاملة بالطلمبات الكهربائية واليدوية والمواسير والمحابس حتي التوصيل علي الخزان اليومى ونظام مراقبة وإنذار لتسريب الوقود وإنخفاض مستواه شامل بجميع الحمايات الازمة ويكون الخزان كامل بجميع التوصيلات ووصلات الملأ وبيان المناسيب وفتحات التهوية وقواعد التحميل ونظام إطفاء الحريق</t>
        </is>
      </c>
      <c r="I465" s="11" t="inlineStr">
        <is>
          <t>لا</t>
        </is>
      </c>
      <c r="J465" s="11" t="n"/>
      <c r="K465" s="11" t="inlineStr">
        <is>
          <t>لا يوجد مرفقات</t>
        </is>
      </c>
      <c r="L465" s="11" t="inlineStr">
        <is>
          <t>عدد</t>
        </is>
      </c>
      <c r="M465" s="11" t="n">
        <v>1</v>
      </c>
      <c r="N465" s="22" t="n">
        <v>42000</v>
      </c>
      <c r="O465" s="25">
        <f>N465*M465</f>
        <v/>
      </c>
      <c r="P465" s="23" t="n">
        <v>42000</v>
      </c>
    </row>
    <row r="466" ht="34.8" customHeight="1">
      <c r="D466" s="5" t="n">
        <v>345</v>
      </c>
      <c r="E466" s="5" t="n">
        <v>345</v>
      </c>
      <c r="F466" s="5" t="inlineStr">
        <is>
          <t>الموقع العام تركيب موصلات الجهد المتوسط</t>
        </is>
      </c>
      <c r="G466" s="5" t="inlineStr">
        <is>
          <t>أعمال كهرباء 5</t>
        </is>
      </c>
      <c r="H466" s="5" t="inlineStr">
        <is>
          <t>توريد وتركيب واختبار وفحص موصلات الجهد المتوسط المسلحة من النحاس المعزولة (XLPE) والمتعددة القلوب (15 ك ف) من وحدات التغذية الحلقية الرئيسية إلى المحولات حسبما هو مبين أدناه، شاملا قطع التركيب، والتثبيت والملحقات طبقا للمواصفات والمخططات، وتشمل ما يلي: ثلاثة قلوب × 70 مم2، XLPE</t>
        </is>
      </c>
      <c r="I466" s="11" t="inlineStr">
        <is>
          <t>نعم</t>
        </is>
      </c>
      <c r="J466" s="11" t="n">
        <v>2096</v>
      </c>
      <c r="K466" s="11" t="inlineStr">
        <is>
          <t>لا يوجد مرفقات</t>
        </is>
      </c>
      <c r="L466" s="11" t="inlineStr">
        <is>
          <t>مط</t>
        </is>
      </c>
      <c r="M466" s="11" t="n">
        <v>10</v>
      </c>
      <c r="N466" s="22" t="n">
        <v>168</v>
      </c>
      <c r="O466" s="25">
        <f>N466*M466</f>
        <v/>
      </c>
      <c r="P466" s="23" t="n">
        <v>1680</v>
      </c>
    </row>
    <row r="467" ht="87" customHeight="1">
      <c r="D467" s="5" t="n">
        <v>346</v>
      </c>
      <c r="E467" s="5" t="n">
        <v>346</v>
      </c>
      <c r="F467" s="5" t="inlineStr">
        <is>
          <t>الموقع العام تركيب نظام ارضي للوحات الكهربائية</t>
        </is>
      </c>
      <c r="G467" s="5" t="inlineStr">
        <is>
          <t>أعمال كهرباء 6</t>
        </is>
      </c>
      <c r="H467" s="5" t="inlineStr">
        <is>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العمومية والمولد وجميع الابواب الحديدية لغرف الكهرباء والاعمال المعدنية بالغرف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is>
      </c>
      <c r="I467" s="11" t="inlineStr">
        <is>
          <t>نعم</t>
        </is>
      </c>
      <c r="J467" s="11" t="n">
        <v>2096</v>
      </c>
      <c r="K467" s="11" t="inlineStr">
        <is>
          <t>لا يوجد مرفقات</t>
        </is>
      </c>
      <c r="L467" s="11" t="inlineStr">
        <is>
          <t>عدد</t>
        </is>
      </c>
      <c r="M467" s="11" t="n">
        <v>1</v>
      </c>
      <c r="N467" s="22" t="n">
        <v>35000</v>
      </c>
      <c r="O467" s="25">
        <f>N467*M467</f>
        <v/>
      </c>
      <c r="P467" s="23" t="n">
        <v>35000</v>
      </c>
    </row>
    <row r="468" ht="34.8" customHeight="1">
      <c r="D468" s="5" t="n">
        <v>347</v>
      </c>
      <c r="E468" s="5" t="n">
        <v>347</v>
      </c>
      <c r="F468" s="5" t="inlineStr">
        <is>
          <t>الموقع العام تركيب نظام ارضي للوحات الكهربائية 5اوم</t>
        </is>
      </c>
      <c r="G468" s="5" t="inlineStr">
        <is>
          <t>أعمال كهرباء 7</t>
        </is>
      </c>
      <c r="H468" s="5" t="inlineStr">
        <is>
          <t>كالبند السابق ولكن خاص بمهمات الجهد المتوسط وجسم المحول لإعطاء مقاومة لا تزيد عن 5 أوم</t>
        </is>
      </c>
      <c r="I468" s="11" t="inlineStr">
        <is>
          <t>نعم</t>
        </is>
      </c>
      <c r="J468" s="11" t="n">
        <v>2096</v>
      </c>
      <c r="K468" s="11" t="inlineStr">
        <is>
          <t>لا يوجد مرفقات</t>
        </is>
      </c>
      <c r="L468" s="11" t="inlineStr">
        <is>
          <t>عدد</t>
        </is>
      </c>
      <c r="M468" s="11" t="n">
        <v>1</v>
      </c>
      <c r="N468" s="22" t="n">
        <v>35000</v>
      </c>
      <c r="O468" s="25">
        <f>N468*M468</f>
        <v/>
      </c>
      <c r="P468" s="23" t="n">
        <v>35000</v>
      </c>
    </row>
    <row r="469" ht="121.8" customHeight="1">
      <c r="D469" s="5" t="n">
        <v>348</v>
      </c>
      <c r="E469" s="5" t="n">
        <v>348</v>
      </c>
      <c r="F469" s="5" t="inlineStr">
        <is>
          <t>الموقع العام تركيب لوحة عمومية للطوارئ</t>
        </is>
      </c>
      <c r="G469" s="5" t="inlineStr">
        <is>
          <t>أعمال كهرباء 8</t>
        </is>
      </c>
      <c r="H469" s="5" t="inlineStr">
        <is>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المقولبACB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is>
      </c>
      <c r="I469" s="11" t="inlineStr">
        <is>
          <t>نعم</t>
        </is>
      </c>
      <c r="J469" s="11" t="n">
        <v>2096</v>
      </c>
      <c r="K469" s="11" t="inlineStr">
        <is>
          <t>لا يوجد مرفقات</t>
        </is>
      </c>
      <c r="L469" s="11" t="inlineStr">
        <is>
          <t>عدد</t>
        </is>
      </c>
      <c r="M469" s="11" t="n">
        <v>1</v>
      </c>
      <c r="N469" s="22" t="n">
        <v>59500</v>
      </c>
      <c r="O469" s="25">
        <f>N469*M469</f>
        <v/>
      </c>
      <c r="P469" s="23" t="n">
        <v>59500</v>
      </c>
    </row>
    <row r="470">
      <c r="D470" s="4" t="inlineStr">
        <is>
          <t>لرقم التسلسلي</t>
        </is>
      </c>
      <c r="E470" s="4" t="inlineStr">
        <is>
          <t>الفئة</t>
        </is>
      </c>
      <c r="F470" s="4" t="inlineStr">
        <is>
          <t>البند</t>
        </is>
      </c>
      <c r="G470" s="4" t="inlineStr">
        <is>
          <t>وصف البند</t>
        </is>
      </c>
      <c r="H470" s="4" t="inlineStr">
        <is>
          <t>المواصفات</t>
        </is>
      </c>
      <c r="I470" s="9" t="inlineStr">
        <is>
          <t>منتج من القائمة الإلزامية</t>
        </is>
      </c>
      <c r="J470" s="9" t="inlineStr">
        <is>
          <t>الرمز الإنشائي</t>
        </is>
      </c>
      <c r="K470" s="9" t="inlineStr">
        <is>
          <t>مرفقات</t>
        </is>
      </c>
      <c r="L470" s="9" t="inlineStr">
        <is>
          <t>وحدة القياس</t>
        </is>
      </c>
      <c r="M470" s="9" t="inlineStr">
        <is>
          <t>الكمية</t>
        </is>
      </c>
      <c r="N470" s="20" t="inlineStr">
        <is>
          <t>سعر الوحدة</t>
        </is>
      </c>
      <c r="O470" s="20" t="inlineStr">
        <is>
          <t>الإجمالي</t>
        </is>
      </c>
      <c r="P470" s="13" t="n"/>
    </row>
    <row r="471">
      <c r="D471" s="21" t="n"/>
      <c r="E471" s="21" t="n"/>
      <c r="F471" s="21" t="n"/>
      <c r="G471" s="21" t="n"/>
      <c r="H471" s="21" t="n"/>
      <c r="I471" s="21" t="n"/>
      <c r="J471" s="21" t="n"/>
      <c r="K471" s="21" t="n"/>
      <c r="L471" s="21" t="n"/>
      <c r="M471" s="21" t="n"/>
      <c r="N471" s="21" t="n"/>
      <c r="O471" s="21" t="n"/>
      <c r="P471" s="13" t="n"/>
    </row>
    <row r="472" ht="139.2" customHeight="1">
      <c r="D472" s="5" t="n">
        <v>349</v>
      </c>
      <c r="E472" s="5" t="n">
        <v>349</v>
      </c>
      <c r="F472" s="5" t="inlineStr">
        <is>
          <t>الموقع العام تركيب لوحة عمومية للتشغيل الطبيعي</t>
        </is>
      </c>
      <c r="G472" s="5" t="inlineStr">
        <is>
          <t>أعمال كهرباء 9</t>
        </is>
      </c>
      <c r="H472" s="5" t="inlineStr">
        <is>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is>
      </c>
      <c r="I472" s="11" t="inlineStr">
        <is>
          <t>نعم</t>
        </is>
      </c>
      <c r="J472" s="11" t="n">
        <v>2096</v>
      </c>
      <c r="K472" s="11" t="inlineStr">
        <is>
          <t>لا يوجد مرفقات</t>
        </is>
      </c>
      <c r="L472" s="11" t="inlineStr">
        <is>
          <t>عدد</t>
        </is>
      </c>
      <c r="M472" s="11" t="n">
        <v>1</v>
      </c>
      <c r="N472" s="22" t="n">
        <v>38500</v>
      </c>
      <c r="O472" s="25">
        <f>N472*M472</f>
        <v/>
      </c>
      <c r="P472" s="23" t="n">
        <v>38500</v>
      </c>
    </row>
    <row r="473" ht="52.2" customHeight="1">
      <c r="D473" s="5" t="n">
        <v>350</v>
      </c>
      <c r="E473" s="5" t="n">
        <v>350</v>
      </c>
      <c r="F473" s="5" t="inlineStr">
        <is>
          <t>الموقع العام تركيب مفتاح النقل الاوتوماتيكي</t>
        </is>
      </c>
      <c r="G473" s="5" t="inlineStr">
        <is>
          <t>أعمال كهرباء 10</t>
        </is>
      </c>
      <c r="H473" s="5" t="inlineStr">
        <is>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is>
      </c>
      <c r="I473" s="11" t="inlineStr">
        <is>
          <t>نعم</t>
        </is>
      </c>
      <c r="J473" s="11" t="n">
        <v>2095</v>
      </c>
      <c r="K473" s="11" t="inlineStr">
        <is>
          <t>لا يوجد مرفقات</t>
        </is>
      </c>
      <c r="L473" s="11" t="inlineStr">
        <is>
          <t>عدد</t>
        </is>
      </c>
      <c r="M473" s="11" t="n">
        <v>1</v>
      </c>
      <c r="N473" s="22" t="n">
        <v>38500</v>
      </c>
      <c r="O473" s="25">
        <f>N473*M473</f>
        <v/>
      </c>
      <c r="P473" s="23" t="n">
        <v>38500</v>
      </c>
    </row>
    <row r="474">
      <c r="D474" s="5" t="n">
        <v>351</v>
      </c>
      <c r="E474" s="5" t="n">
        <v>351</v>
      </c>
      <c r="F474" s="5" t="inlineStr">
        <is>
          <t>الموقع العام تركيب لوحة توزيع الكهرباء</t>
        </is>
      </c>
      <c r="G474" s="5" t="inlineStr">
        <is>
          <t>أعمال كهرباء 11</t>
        </is>
      </c>
      <c r="H474" s="5" t="inlineStr">
        <is>
          <t>EDB-LAY</t>
        </is>
      </c>
      <c r="I474" s="11" t="inlineStr">
        <is>
          <t>لا</t>
        </is>
      </c>
      <c r="J474" s="11" t="n"/>
      <c r="K474" s="11" t="inlineStr">
        <is>
          <t>لا يوجد مرفقات</t>
        </is>
      </c>
      <c r="L474" s="11" t="inlineStr">
        <is>
          <t>عدد</t>
        </is>
      </c>
      <c r="M474" s="11" t="n">
        <v>1</v>
      </c>
      <c r="N474" s="22" t="n">
        <v>24500</v>
      </c>
      <c r="O474" s="25">
        <f>N474*M474</f>
        <v/>
      </c>
      <c r="P474" s="23" t="n">
        <v>24500</v>
      </c>
    </row>
    <row r="475" ht="34.8" customHeight="1">
      <c r="D475" s="5" t="n">
        <v>352</v>
      </c>
      <c r="E475" s="5" t="n">
        <v>352</v>
      </c>
      <c r="F475" s="5" t="inlineStr">
        <is>
          <t>الموقع العام تركيب لوحة توزيع الكهرباء العمومية</t>
        </is>
      </c>
      <c r="G475" s="5" t="inlineStr">
        <is>
          <t>أعمال كهرباء 12</t>
        </is>
      </c>
      <c r="H475" s="5" t="inlineStr">
        <is>
          <t>DB-ELE بغرف الكهرباء العمومية</t>
        </is>
      </c>
      <c r="I475" s="11" t="inlineStr">
        <is>
          <t>لا</t>
        </is>
      </c>
      <c r="J475" s="11" t="n"/>
      <c r="K475" s="11" t="inlineStr">
        <is>
          <t>لا يوجد مرفقات</t>
        </is>
      </c>
      <c r="L475" s="11" t="inlineStr">
        <is>
          <t>عدد</t>
        </is>
      </c>
      <c r="M475" s="11" t="n">
        <v>1</v>
      </c>
      <c r="N475" s="22" t="n">
        <v>16800</v>
      </c>
      <c r="O475" s="25">
        <f>N475*M475</f>
        <v/>
      </c>
      <c r="P475" s="23" t="n">
        <v>16800</v>
      </c>
    </row>
    <row r="476">
      <c r="D476" s="5" t="n">
        <v>353</v>
      </c>
      <c r="E476" s="5" t="n">
        <v>353</v>
      </c>
      <c r="F476" s="5" t="inlineStr">
        <is>
          <t>الموقع العام تركيب كابل 150</t>
        </is>
      </c>
      <c r="G476" s="5" t="inlineStr">
        <is>
          <t>أعمال كهرباء 13</t>
        </is>
      </c>
      <c r="H476" s="5" t="inlineStr">
        <is>
          <t>كابل( 4*150)+1*70 مم2 نحاس</t>
        </is>
      </c>
      <c r="I476" s="11" t="inlineStr">
        <is>
          <t>نعم</t>
        </is>
      </c>
      <c r="J476" s="11" t="n">
        <v>2094</v>
      </c>
      <c r="K476" s="11" t="inlineStr">
        <is>
          <t>لا يوجد مرفقات</t>
        </is>
      </c>
      <c r="L476" s="11" t="inlineStr">
        <is>
          <t>مط</t>
        </is>
      </c>
      <c r="M476" s="11" t="n">
        <v>10</v>
      </c>
      <c r="N476" s="22" t="n">
        <v>300</v>
      </c>
      <c r="O476" s="25">
        <f>N476*M476</f>
        <v/>
      </c>
      <c r="P476" s="23" t="n">
        <v>3000</v>
      </c>
    </row>
    <row r="477">
      <c r="D477" s="5" t="n">
        <v>354</v>
      </c>
      <c r="E477" s="5" t="n">
        <v>354</v>
      </c>
      <c r="F477" s="5" t="inlineStr">
        <is>
          <t>الموقع العام تركيب كابل 95</t>
        </is>
      </c>
      <c r="G477" s="5" t="inlineStr">
        <is>
          <t>أعمال كهرباء 14</t>
        </is>
      </c>
      <c r="H477" s="5" t="inlineStr">
        <is>
          <t>كابل( 4*95)+1*50 مم2 نحاس مسلح</t>
        </is>
      </c>
      <c r="I477" s="11" t="inlineStr">
        <is>
          <t>نعم</t>
        </is>
      </c>
      <c r="J477" s="11" t="n">
        <v>2094</v>
      </c>
      <c r="K477" s="11" t="inlineStr">
        <is>
          <t>لا يوجد مرفقات</t>
        </is>
      </c>
      <c r="L477" s="11" t="inlineStr">
        <is>
          <t>مط</t>
        </is>
      </c>
      <c r="M477" s="11" t="n">
        <v>65</v>
      </c>
      <c r="N477" s="22" t="n">
        <v>270</v>
      </c>
      <c r="O477" s="25">
        <f>N477*M477</f>
        <v/>
      </c>
      <c r="P477" s="23" t="n">
        <v>17550</v>
      </c>
    </row>
    <row r="478">
      <c r="D478" s="4" t="inlineStr">
        <is>
          <t>الرقم التسلسلي</t>
        </is>
      </c>
      <c r="E478" s="4" t="inlineStr">
        <is>
          <t>الفئة</t>
        </is>
      </c>
      <c r="F478" s="4" t="inlineStr">
        <is>
          <t>البند</t>
        </is>
      </c>
      <c r="G478" s="4" t="inlineStr">
        <is>
          <t>وصف البند</t>
        </is>
      </c>
      <c r="H478" s="4" t="inlineStr">
        <is>
          <t>المواصفات</t>
        </is>
      </c>
      <c r="I478" s="9" t="inlineStr">
        <is>
          <t>منتج من القائمة الإلزامية</t>
        </is>
      </c>
      <c r="J478" s="9" t="inlineStr">
        <is>
          <t>الرمز الإنشائي</t>
        </is>
      </c>
      <c r="K478" s="9" t="inlineStr">
        <is>
          <t>مرفقات</t>
        </is>
      </c>
      <c r="L478" s="9" t="inlineStr">
        <is>
          <t>وحدة القياس</t>
        </is>
      </c>
      <c r="M478" s="9" t="inlineStr">
        <is>
          <t>الكمية</t>
        </is>
      </c>
      <c r="N478" s="20" t="inlineStr">
        <is>
          <t>سعر الوحدة</t>
        </is>
      </c>
      <c r="O478" s="20" t="inlineStr">
        <is>
          <t>الإجمالي</t>
        </is>
      </c>
      <c r="P478" s="13" t="n"/>
    </row>
    <row r="479">
      <c r="D479" s="21" t="n"/>
      <c r="E479" s="21" t="n"/>
      <c r="F479" s="21" t="n"/>
      <c r="G479" s="21" t="n"/>
      <c r="H479" s="21" t="n"/>
      <c r="I479" s="21" t="n"/>
      <c r="J479" s="21" t="n"/>
      <c r="K479" s="21" t="n"/>
      <c r="L479" s="21" t="n"/>
      <c r="M479" s="21" t="n"/>
      <c r="N479" s="21" t="n"/>
      <c r="O479" s="21" t="n"/>
      <c r="P479" s="13" t="n"/>
    </row>
    <row r="480">
      <c r="D480" s="5" t="n">
        <v>355</v>
      </c>
      <c r="E480" s="5" t="n">
        <v>355</v>
      </c>
      <c r="F480" s="5" t="inlineStr">
        <is>
          <t>الموقع العام تركيب كابل 50</t>
        </is>
      </c>
      <c r="G480" s="5" t="inlineStr">
        <is>
          <t>أعمال كهرباء 15</t>
        </is>
      </c>
      <c r="H480" s="5" t="inlineStr">
        <is>
          <t>كابل(4*50)+1*25 مم2 نحاس مسلح</t>
        </is>
      </c>
      <c r="I480" s="11" t="inlineStr">
        <is>
          <t>نعم</t>
        </is>
      </c>
      <c r="J480" s="11" t="n">
        <v>2094</v>
      </c>
      <c r="K480" s="11" t="inlineStr">
        <is>
          <t>لا يوجد مرفقات</t>
        </is>
      </c>
      <c r="L480" s="11" t="inlineStr">
        <is>
          <t>مط</t>
        </is>
      </c>
      <c r="M480" s="11" t="n">
        <v>150</v>
      </c>
      <c r="N480" s="22" t="n">
        <v>100</v>
      </c>
      <c r="O480" s="25">
        <f>N480*M480</f>
        <v/>
      </c>
      <c r="P480" s="23" t="n">
        <v>15000</v>
      </c>
    </row>
    <row r="481">
      <c r="D481" s="5" t="n">
        <v>356</v>
      </c>
      <c r="E481" s="5" t="n">
        <v>356</v>
      </c>
      <c r="F481" s="5" t="inlineStr">
        <is>
          <t>الموقع العام تركيب كابل 25</t>
        </is>
      </c>
      <c r="G481" s="5" t="inlineStr">
        <is>
          <t>أعمال كهرباء 16</t>
        </is>
      </c>
      <c r="H481" s="5" t="inlineStr">
        <is>
          <t>كابل(4*25)+1*16 مم2 نحاس مسلح</t>
        </is>
      </c>
      <c r="I481" s="11" t="inlineStr">
        <is>
          <t>نعم</t>
        </is>
      </c>
      <c r="J481" s="11" t="n">
        <v>2094</v>
      </c>
      <c r="K481" s="11" t="inlineStr">
        <is>
          <t>لا يوجد مرفقات</t>
        </is>
      </c>
      <c r="L481" s="11" t="inlineStr">
        <is>
          <t>مط</t>
        </is>
      </c>
      <c r="M481" s="11" t="n">
        <v>150</v>
      </c>
      <c r="N481" s="22" t="n">
        <v>70</v>
      </c>
      <c r="O481" s="25">
        <f>N481*M481</f>
        <v/>
      </c>
      <c r="P481" s="23" t="n">
        <v>10500</v>
      </c>
    </row>
    <row r="482">
      <c r="D482" s="5" t="n">
        <v>357</v>
      </c>
      <c r="E482" s="5" t="n">
        <v>357</v>
      </c>
      <c r="F482" s="5" t="inlineStr">
        <is>
          <t>الموقع العام تركيب كابل 16</t>
        </is>
      </c>
      <c r="G482" s="5" t="inlineStr">
        <is>
          <t>أعمال كهرباء 17</t>
        </is>
      </c>
      <c r="H482" s="5" t="inlineStr">
        <is>
          <t>كابل(4*16)+1*16 مم2 نحاس مسلح</t>
        </is>
      </c>
      <c r="I482" s="11" t="inlineStr">
        <is>
          <t>نعم</t>
        </is>
      </c>
      <c r="J482" s="11" t="n">
        <v>2094</v>
      </c>
      <c r="K482" s="11" t="inlineStr">
        <is>
          <t>لا يوجد مرفقات</t>
        </is>
      </c>
      <c r="L482" s="11" t="inlineStr">
        <is>
          <t>مط</t>
        </is>
      </c>
      <c r="M482" s="11" t="n">
        <v>230</v>
      </c>
      <c r="N482" s="22" t="n">
        <v>70</v>
      </c>
      <c r="O482" s="25">
        <f>N482*M482</f>
        <v/>
      </c>
      <c r="P482" s="23" t="n">
        <v>16100</v>
      </c>
    </row>
    <row r="483">
      <c r="D483" s="5" t="n">
        <v>358</v>
      </c>
      <c r="E483" s="5" t="n">
        <v>358</v>
      </c>
      <c r="F483" s="5" t="inlineStr">
        <is>
          <t>الموقع العام تركيب كابل 10</t>
        </is>
      </c>
      <c r="G483" s="5" t="inlineStr">
        <is>
          <t>أعمال كهرباء 18</t>
        </is>
      </c>
      <c r="H483" s="5" t="inlineStr">
        <is>
          <t>كابل(4*10)+1*10 مم2 نحاس مسلح</t>
        </is>
      </c>
      <c r="I483" s="11" t="inlineStr">
        <is>
          <t>نعم</t>
        </is>
      </c>
      <c r="J483" s="11" t="n">
        <v>2094</v>
      </c>
      <c r="K483" s="11" t="inlineStr">
        <is>
          <t>لا يوجد مرفقات</t>
        </is>
      </c>
      <c r="L483" s="11" t="inlineStr">
        <is>
          <t>مط</t>
        </is>
      </c>
      <c r="M483" s="11" t="n">
        <v>230</v>
      </c>
      <c r="N483" s="22" t="n">
        <v>70</v>
      </c>
      <c r="O483" s="25">
        <f>N483*M483</f>
        <v/>
      </c>
      <c r="P483" s="23" t="n">
        <v>16100</v>
      </c>
    </row>
    <row r="484">
      <c r="D484" s="5" t="n">
        <v>359</v>
      </c>
      <c r="E484" s="5" t="n">
        <v>359</v>
      </c>
      <c r="F484" s="5" t="inlineStr">
        <is>
          <t>الموقع العام تركيب كابل 6</t>
        </is>
      </c>
      <c r="G484" s="5" t="inlineStr">
        <is>
          <t>أعمال كهرباء 19</t>
        </is>
      </c>
      <c r="H484" s="5" t="inlineStr">
        <is>
          <t>كابل( 4*6)+1*6 مم2 نحاس مسلح</t>
        </is>
      </c>
      <c r="I484" s="11" t="inlineStr">
        <is>
          <t>نعم</t>
        </is>
      </c>
      <c r="J484" s="11" t="n">
        <v>2094</v>
      </c>
      <c r="K484" s="11" t="inlineStr">
        <is>
          <t>لا يوجد مرفقات</t>
        </is>
      </c>
      <c r="L484" s="11" t="inlineStr">
        <is>
          <t>مط</t>
        </is>
      </c>
      <c r="M484" s="11" t="n">
        <v>50</v>
      </c>
      <c r="N484" s="22" t="n">
        <v>70</v>
      </c>
      <c r="O484" s="25">
        <f>N484*M484</f>
        <v/>
      </c>
      <c r="P484" s="23" t="n">
        <v>3500</v>
      </c>
    </row>
    <row r="485">
      <c r="D485" s="5" t="n">
        <v>360</v>
      </c>
      <c r="E485" s="5" t="n">
        <v>360</v>
      </c>
      <c r="F485" s="5" t="inlineStr">
        <is>
          <t>الموقع العام تركيب كابل 16 أ</t>
        </is>
      </c>
      <c r="G485" s="5" t="inlineStr">
        <is>
          <t>أعمال كهرباء 20</t>
        </is>
      </c>
      <c r="H485" s="5" t="inlineStr">
        <is>
          <t>كابل( 4*16)+1*16 مم2 نحاس</t>
        </is>
      </c>
      <c r="I485" s="11" t="inlineStr">
        <is>
          <t>نعم</t>
        </is>
      </c>
      <c r="J485" s="11" t="n">
        <v>2094</v>
      </c>
      <c r="K485" s="11" t="inlineStr">
        <is>
          <t>لا يوجد مرفقات</t>
        </is>
      </c>
      <c r="L485" s="11" t="inlineStr">
        <is>
          <t>مط</t>
        </is>
      </c>
      <c r="M485" s="11" t="n">
        <v>10</v>
      </c>
      <c r="N485" s="22" t="n">
        <v>70</v>
      </c>
      <c r="O485" s="25">
        <f>N485*M485</f>
        <v/>
      </c>
      <c r="P485" s="23" t="n">
        <v>700</v>
      </c>
    </row>
    <row r="486">
      <c r="D486" s="4" t="inlineStr">
        <is>
          <t>الرقم التسلسلي</t>
        </is>
      </c>
      <c r="E486" s="4" t="inlineStr">
        <is>
          <t>الفئة</t>
        </is>
      </c>
      <c r="F486" s="4" t="inlineStr">
        <is>
          <t>البند</t>
        </is>
      </c>
      <c r="G486" s="4" t="inlineStr">
        <is>
          <t>وصف البند</t>
        </is>
      </c>
      <c r="H486" s="4" t="inlineStr">
        <is>
          <t>المواصفات</t>
        </is>
      </c>
      <c r="I486" s="9" t="inlineStr">
        <is>
          <t>منتج من القائمة الإلزامية</t>
        </is>
      </c>
      <c r="J486" s="9" t="inlineStr">
        <is>
          <t>الرمز الإنشائي</t>
        </is>
      </c>
      <c r="K486" s="9" t="inlineStr">
        <is>
          <t>مرفقات</t>
        </is>
      </c>
      <c r="L486" s="9" t="inlineStr">
        <is>
          <t>وحدة القياس</t>
        </is>
      </c>
      <c r="M486" s="9" t="inlineStr">
        <is>
          <t>الكمية</t>
        </is>
      </c>
      <c r="N486" s="20" t="inlineStr">
        <is>
          <t>سعر الوحدة</t>
        </is>
      </c>
      <c r="O486" s="20" t="inlineStr">
        <is>
          <t>الإجمالي</t>
        </is>
      </c>
      <c r="P486" s="13" t="n"/>
    </row>
    <row r="487">
      <c r="D487" s="21" t="n"/>
      <c r="E487" s="21" t="n"/>
      <c r="F487" s="21" t="n"/>
      <c r="G487" s="21" t="n"/>
      <c r="H487" s="21" t="n"/>
      <c r="I487" s="21" t="n"/>
      <c r="J487" s="21" t="n"/>
      <c r="K487" s="21" t="n"/>
      <c r="L487" s="21" t="n"/>
      <c r="M487" s="21" t="n"/>
      <c r="N487" s="21" t="n"/>
      <c r="O487" s="21" t="n"/>
      <c r="P487" s="13" t="n"/>
    </row>
    <row r="488">
      <c r="D488" s="5" t="n">
        <v>361</v>
      </c>
      <c r="E488" s="5" t="n">
        <v>361</v>
      </c>
      <c r="F488" s="5" t="inlineStr">
        <is>
          <t>الموقع العام تركيب مقبس دوبلكس</t>
        </is>
      </c>
      <c r="G488" s="5" t="inlineStr">
        <is>
          <t>أعمال كهرباء 21</t>
        </is>
      </c>
      <c r="H488" s="5" t="inlineStr">
        <is>
          <t>مقبس احادي الطور(1P+N+E) دوبلكس 20 امبير من النوع المقاوم للماء WATER PROOF بدرجة حماية IP=54 (قوى) بأسلاك 3*4 مم2 نحاس</t>
        </is>
      </c>
      <c r="I488" s="11" t="inlineStr">
        <is>
          <t>نعم</t>
        </is>
      </c>
      <c r="J488" s="11" t="n">
        <v>2088</v>
      </c>
      <c r="K488" s="11" t="inlineStr">
        <is>
          <t>لا يوجد مرفقات</t>
        </is>
      </c>
      <c r="L488" s="11" t="inlineStr">
        <is>
          <t>عدد</t>
        </is>
      </c>
      <c r="M488" s="11" t="n">
        <v>4</v>
      </c>
      <c r="N488" s="22" t="n">
        <v>140</v>
      </c>
      <c r="O488" s="25">
        <f>N488*M488</f>
        <v/>
      </c>
      <c r="P488" s="23" t="n">
        <v>560</v>
      </c>
    </row>
    <row r="489" ht="34.8" customHeight="1">
      <c r="D489" s="5" t="n">
        <v>362</v>
      </c>
      <c r="E489" s="5" t="n">
        <v>362</v>
      </c>
      <c r="F489" s="5" t="inlineStr">
        <is>
          <t>الموقع العام تركيب مفتاح فصل وتشغيل</t>
        </is>
      </c>
      <c r="G489" s="5" t="inlineStr">
        <is>
          <t>أعمال كهرباء 22</t>
        </is>
      </c>
      <c r="H489" s="5" t="inlineStr">
        <is>
          <t>مفتاح فصل وتشغيل (1P+E) 20أمبير - 220 فولت من النوع المضاد للمياه IP54 باسلاك 3*4 مم2 نحاس لزوم مراوح التهوية من المفتاح الى اللوحة ومن المفتاح الى المروحة والمفتاح مزود بلمبة بيان</t>
        </is>
      </c>
      <c r="I489" s="11" t="inlineStr">
        <is>
          <t>نعم</t>
        </is>
      </c>
      <c r="J489" s="11" t="n">
        <v>2095</v>
      </c>
      <c r="K489" s="11" t="inlineStr">
        <is>
          <t>لا يوجد مرفقات</t>
        </is>
      </c>
      <c r="L489" s="11" t="inlineStr">
        <is>
          <t>عدد</t>
        </is>
      </c>
      <c r="M489" s="11" t="n">
        <v>4</v>
      </c>
      <c r="N489" s="22" t="n">
        <v>140</v>
      </c>
      <c r="O489" s="25">
        <f>N489*M489</f>
        <v/>
      </c>
      <c r="P489" s="23" t="n">
        <v>560</v>
      </c>
    </row>
    <row r="490">
      <c r="D490" s="5" t="n">
        <v>363</v>
      </c>
      <c r="E490" s="5" t="n">
        <v>363</v>
      </c>
      <c r="F490" s="5" t="inlineStr">
        <is>
          <t>الموقع العام تركيب مفتاح اتجاه واحد</t>
        </is>
      </c>
      <c r="G490" s="5" t="inlineStr">
        <is>
          <t>أعمال كهرباء 23</t>
        </is>
      </c>
      <c r="H490" s="5" t="inlineStr">
        <is>
          <t>مفتاح اتجاة واحد بعدد 2 لقمة 10 أمبير ,220 فولت من النوع المقاوم للعوامل الجوية IP=54 WATER PROOF</t>
        </is>
      </c>
      <c r="I490" s="11" t="inlineStr">
        <is>
          <t>نعم</t>
        </is>
      </c>
      <c r="J490" s="11" t="n">
        <v>2095</v>
      </c>
      <c r="K490" s="11" t="inlineStr">
        <is>
          <t>لا يوجد مرفقات</t>
        </is>
      </c>
      <c r="L490" s="11" t="inlineStr">
        <is>
          <t>عدد</t>
        </is>
      </c>
      <c r="M490" s="11" t="n">
        <v>4</v>
      </c>
      <c r="N490" s="22" t="n">
        <v>140</v>
      </c>
      <c r="O490" s="25">
        <f>N490*M490</f>
        <v/>
      </c>
      <c r="P490" s="23" t="n">
        <v>560</v>
      </c>
    </row>
    <row r="491">
      <c r="D491" s="5" t="n">
        <v>364</v>
      </c>
      <c r="E491" s="5" t="n">
        <v>364</v>
      </c>
      <c r="F491" s="5" t="inlineStr">
        <is>
          <t>الموقع العام تركيب مخرج اناره</t>
        </is>
      </c>
      <c r="G491" s="5" t="inlineStr">
        <is>
          <t>أعمال كهرباء 24</t>
        </is>
      </c>
      <c r="H491" s="5" t="inlineStr">
        <is>
          <t>مخرج انارة بأسلاك 3×3 مم2 نحاس</t>
        </is>
      </c>
      <c r="I491" s="11" t="inlineStr">
        <is>
          <t>نعم</t>
        </is>
      </c>
      <c r="J491" s="11" t="n">
        <v>2091</v>
      </c>
      <c r="K491" s="11" t="inlineStr">
        <is>
          <t>لا يوجد مرفقات</t>
        </is>
      </c>
      <c r="L491" s="11" t="inlineStr">
        <is>
          <t>عدد</t>
        </is>
      </c>
      <c r="M491" s="11" t="n">
        <v>17</v>
      </c>
      <c r="N491" s="22" t="n">
        <v>70</v>
      </c>
      <c r="O491" s="25">
        <f>N491*M491</f>
        <v/>
      </c>
      <c r="P491" s="23" t="n">
        <v>1190</v>
      </c>
    </row>
    <row r="492" ht="34.8" customHeight="1">
      <c r="D492" s="5" t="n">
        <v>365</v>
      </c>
      <c r="E492" s="5" t="n">
        <v>365</v>
      </c>
      <c r="F492" s="5" t="inlineStr">
        <is>
          <t>محطة الكهرباء بالوقع العام كشاف ليد بانل 120سم بالسقف</t>
        </is>
      </c>
      <c r="G492" s="5" t="inlineStr">
        <is>
          <t>أعمال كهرباء 25</t>
        </is>
      </c>
      <c r="H492" s="5" t="inlineStr">
        <is>
          <t>كشاف ليد بانل 120*30سم - 40 وات 220و فولت و 60 هرتز للتركيب لاتش بالسقف وبدرجة حرارة لون لاتقل عن 4000 كلفن</t>
        </is>
      </c>
      <c r="I492" s="11" t="inlineStr">
        <is>
          <t>نعم</t>
        </is>
      </c>
      <c r="J492" s="11" t="n">
        <v>2087</v>
      </c>
      <c r="K492" s="11" t="inlineStr">
        <is>
          <t>لا يوجد مرفقات</t>
        </is>
      </c>
      <c r="L492" s="11" t="inlineStr">
        <is>
          <t>عدد</t>
        </is>
      </c>
      <c r="M492" s="11" t="n">
        <v>4</v>
      </c>
      <c r="N492" s="22" t="n">
        <v>105</v>
      </c>
      <c r="O492" s="25">
        <f>N492*M492</f>
        <v/>
      </c>
      <c r="P492" s="23" t="n">
        <v>420</v>
      </c>
    </row>
    <row r="493" ht="34.8" customHeight="1">
      <c r="D493" s="5" t="n">
        <v>366</v>
      </c>
      <c r="E493" s="5" t="n">
        <v>366</v>
      </c>
      <c r="F493" s="5" t="inlineStr">
        <is>
          <t>محطة الكهرباء بالوقع العام كشاف ليد بانل 120سم بالحائط</t>
        </is>
      </c>
      <c r="G493" s="5" t="inlineStr">
        <is>
          <t>أعمال كهرباء 26</t>
        </is>
      </c>
      <c r="H493" s="5" t="inlineStr">
        <is>
          <t>كشاف ليد بانل 120*30سم - 40 وات 220و فولت و 60 هرتز للتركيب علي الحائط وبدرجة حرارة لون لاتقل عن 4000 كلفن</t>
        </is>
      </c>
      <c r="I493" s="11" t="inlineStr">
        <is>
          <t>نعم</t>
        </is>
      </c>
      <c r="J493" s="11" t="n">
        <v>2087</v>
      </c>
      <c r="K493" s="11" t="inlineStr">
        <is>
          <t>لا يوجد مرفقات</t>
        </is>
      </c>
      <c r="L493" s="11" t="inlineStr">
        <is>
          <t>عدد</t>
        </is>
      </c>
      <c r="M493" s="11" t="n">
        <v>9</v>
      </c>
      <c r="N493" s="22" t="n">
        <v>105</v>
      </c>
      <c r="O493" s="25">
        <f>N493*M493</f>
        <v/>
      </c>
      <c r="P493" s="23" t="n">
        <v>945</v>
      </c>
    </row>
    <row r="494">
      <c r="D494" s="4" t="inlineStr">
        <is>
          <t>لرقم التسلسلي</t>
        </is>
      </c>
      <c r="E494" s="4" t="inlineStr">
        <is>
          <t>الفئة</t>
        </is>
      </c>
      <c r="F494" s="4" t="inlineStr">
        <is>
          <t>البند</t>
        </is>
      </c>
      <c r="G494" s="4" t="inlineStr">
        <is>
          <t>وصف البند</t>
        </is>
      </c>
      <c r="H494" s="4" t="inlineStr">
        <is>
          <t>المواصفات</t>
        </is>
      </c>
      <c r="I494" s="9" t="inlineStr">
        <is>
          <t>منتج من القائمة الإلزامية</t>
        </is>
      </c>
      <c r="J494" s="9" t="inlineStr">
        <is>
          <t>الرمز الإنشائي</t>
        </is>
      </c>
      <c r="K494" s="9" t="inlineStr">
        <is>
          <t>مرفقات</t>
        </is>
      </c>
      <c r="L494" s="9" t="inlineStr">
        <is>
          <t>وحدة القياس</t>
        </is>
      </c>
      <c r="M494" s="9" t="inlineStr">
        <is>
          <t>الكمية</t>
        </is>
      </c>
      <c r="N494" s="20" t="inlineStr">
        <is>
          <t>سعر الوحدة</t>
        </is>
      </c>
      <c r="O494" s="20" t="inlineStr">
        <is>
          <t>الإجمالي</t>
        </is>
      </c>
      <c r="P494" s="13" t="n"/>
    </row>
    <row r="495" ht="17.55" customHeight="1">
      <c r="D495" s="21" t="n"/>
      <c r="E495" s="21" t="n"/>
      <c r="F495" s="21" t="n"/>
      <c r="G495" s="21" t="n"/>
      <c r="H495" s="21" t="n"/>
      <c r="I495" s="21" t="n"/>
      <c r="J495" s="21" t="n"/>
      <c r="K495" s="21" t="n"/>
      <c r="L495" s="21" t="n"/>
      <c r="M495" s="21" t="n"/>
      <c r="N495" s="21" t="n"/>
      <c r="O495" s="21" t="n"/>
      <c r="P495" s="13" t="n"/>
    </row>
    <row r="496" ht="34.8" customHeight="1">
      <c r="D496" s="5" t="n">
        <v>367</v>
      </c>
      <c r="E496" s="5" t="n">
        <v>367</v>
      </c>
      <c r="F496" s="5" t="inlineStr">
        <is>
          <t>محطة الكهرباء بالوقع العام وحدة انارة عين بقرة 12 واط</t>
        </is>
      </c>
      <c r="G496" s="5" t="inlineStr">
        <is>
          <t>أعمال كهرباء 27</t>
        </is>
      </c>
      <c r="H496" s="5" t="inlineStr">
        <is>
          <t>وحدة انارة عين بقرة LED وبقدرة 12 وات ليد بدرجة حرارة لون 3000 كلفن و230 فولت و 60 هرتز كاملة بكافة مايلزم بدرجة حماية IP54</t>
        </is>
      </c>
      <c r="I496" s="11" t="inlineStr">
        <is>
          <t>نعم</t>
        </is>
      </c>
      <c r="J496" s="11" t="n">
        <v>2087</v>
      </c>
      <c r="K496" s="11" t="inlineStr">
        <is>
          <t>لا يوجد مرفقات</t>
        </is>
      </c>
      <c r="L496" s="11" t="inlineStr">
        <is>
          <t>عدد</t>
        </is>
      </c>
      <c r="M496" s="11" t="n">
        <v>4</v>
      </c>
      <c r="N496" s="22" t="n">
        <v>70</v>
      </c>
      <c r="O496" s="25">
        <f>N496*M496</f>
        <v/>
      </c>
      <c r="P496" s="23" t="n">
        <v>280</v>
      </c>
    </row>
    <row r="497" ht="87" customHeight="1">
      <c r="D497" s="5" t="n">
        <v>368</v>
      </c>
      <c r="E497" s="5" t="n">
        <v>368</v>
      </c>
      <c r="F497" s="5" t="inlineStr">
        <is>
          <t>محطة الكهرباء بالوقع العام نظام الانذار المبكر للحريق</t>
        </is>
      </c>
      <c r="G497" s="5" t="inlineStr">
        <is>
          <t>أعمال كهرباء 28</t>
        </is>
      </c>
      <c r="H497" s="5" t="inlineStr">
        <is>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is>
      </c>
      <c r="I497" s="11" t="inlineStr">
        <is>
          <t>لا</t>
        </is>
      </c>
      <c r="J497" s="11" t="n"/>
      <c r="K497" s="11" t="inlineStr">
        <is>
          <t>لا يوجد مرفقات</t>
        </is>
      </c>
      <c r="L497" s="11" t="inlineStr">
        <is>
          <t>عدد</t>
        </is>
      </c>
      <c r="M497" s="11" t="n">
        <v>14</v>
      </c>
      <c r="N497" s="22" t="n">
        <v>210</v>
      </c>
      <c r="O497" s="25">
        <f>N497*M497</f>
        <v/>
      </c>
      <c r="P497" s="23" t="n">
        <v>2940</v>
      </c>
    </row>
    <row r="498">
      <c r="D498" s="5" t="n">
        <v>369</v>
      </c>
      <c r="E498" s="5" t="n">
        <v>369</v>
      </c>
      <c r="F498" s="5" t="inlineStr">
        <is>
          <t>محطة الكهرباء بالوقع العام كاشف دخان</t>
        </is>
      </c>
      <c r="G498" s="5" t="inlineStr">
        <is>
          <t>أعمال كهرباء 29</t>
        </is>
      </c>
      <c r="H498" s="5" t="inlineStr">
        <is>
          <t>كاشف انذار دخان من النوع المعنون</t>
        </is>
      </c>
      <c r="I498" s="11" t="inlineStr">
        <is>
          <t>لا</t>
        </is>
      </c>
      <c r="J498" s="11" t="n"/>
      <c r="K498" s="11" t="inlineStr">
        <is>
          <t>لا يوجد مرفقات</t>
        </is>
      </c>
      <c r="L498" s="11" t="inlineStr">
        <is>
          <t>عدد</t>
        </is>
      </c>
      <c r="M498" s="11" t="n">
        <v>3</v>
      </c>
      <c r="N498" s="22" t="n">
        <v>350</v>
      </c>
      <c r="O498" s="25">
        <f>N498*M498</f>
        <v/>
      </c>
      <c r="P498" s="23" t="n">
        <v>1050</v>
      </c>
    </row>
    <row r="499" ht="34.8" customHeight="1">
      <c r="D499" s="5" t="n">
        <v>370</v>
      </c>
      <c r="E499" s="5" t="n">
        <v>370</v>
      </c>
      <c r="F499" s="5" t="inlineStr">
        <is>
          <t>محطة الكهرباء بالوقع العام كاشف انذار حرارى</t>
        </is>
      </c>
      <c r="G499" s="5" t="inlineStr">
        <is>
          <t>أعمال كهرباء 30</t>
        </is>
      </c>
      <c r="H499" s="5" t="inlineStr">
        <is>
          <t>كاشف أنذار حراري من النوع المعنون</t>
        </is>
      </c>
      <c r="I499" s="11" t="inlineStr">
        <is>
          <t>لا</t>
        </is>
      </c>
      <c r="J499" s="11" t="n"/>
      <c r="K499" s="11" t="inlineStr">
        <is>
          <t>لا يوجد مرفقات</t>
        </is>
      </c>
      <c r="L499" s="11" t="inlineStr">
        <is>
          <t>عدد</t>
        </is>
      </c>
      <c r="M499" s="11" t="n">
        <v>1</v>
      </c>
      <c r="N499" s="22" t="n">
        <v>350</v>
      </c>
      <c r="O499" s="25">
        <f>N499*M499</f>
        <v/>
      </c>
      <c r="P499" s="23" t="n">
        <v>350</v>
      </c>
    </row>
    <row r="500" ht="34.8" customHeight="1">
      <c r="D500" s="5" t="n">
        <v>371</v>
      </c>
      <c r="E500" s="5" t="n">
        <v>371</v>
      </c>
      <c r="F500" s="5" t="inlineStr">
        <is>
          <t>محطة الكهرباء بالوقع العام وحدة كاسر زجاجى</t>
        </is>
      </c>
      <c r="G500" s="5" t="inlineStr">
        <is>
          <t>أعمال كهرباء 31</t>
        </is>
      </c>
      <c r="H500" s="5" t="inlineStr">
        <is>
          <t>وحدة كاسر زجاجى</t>
        </is>
      </c>
      <c r="I500" s="11" t="inlineStr">
        <is>
          <t>لا</t>
        </is>
      </c>
      <c r="J500" s="11" t="n"/>
      <c r="K500" s="11" t="inlineStr">
        <is>
          <t>لا يوجد مرفقات</t>
        </is>
      </c>
      <c r="L500" s="11" t="inlineStr">
        <is>
          <t>عدد</t>
        </is>
      </c>
      <c r="M500" s="11" t="n">
        <v>6</v>
      </c>
      <c r="N500" s="22" t="n">
        <v>350</v>
      </c>
      <c r="O500" s="25">
        <f>N500*M500</f>
        <v/>
      </c>
      <c r="P500" s="23" t="n">
        <v>2100</v>
      </c>
    </row>
    <row r="501">
      <c r="D501" s="5" t="n">
        <v>372</v>
      </c>
      <c r="E501" s="5" t="n">
        <v>372</v>
      </c>
      <c r="F501" s="5" t="inlineStr">
        <is>
          <t>محطة الكهرباء بالوقع العام جرس انذار</t>
        </is>
      </c>
      <c r="G501" s="5" t="inlineStr">
        <is>
          <t>أعمال كهرباء 32</t>
        </is>
      </c>
      <c r="H501" s="5" t="inlineStr">
        <is>
          <t>جرس إنذار من النوع المقاوم للعوامل الجوية</t>
        </is>
      </c>
      <c r="I501" s="11" t="inlineStr">
        <is>
          <t>لا</t>
        </is>
      </c>
      <c r="J501" s="11" t="n"/>
      <c r="K501" s="11" t="inlineStr">
        <is>
          <t>لا يوجد مرفقات</t>
        </is>
      </c>
      <c r="L501" s="11" t="inlineStr">
        <is>
          <t>عدد</t>
        </is>
      </c>
      <c r="M501" s="11" t="n">
        <v>2</v>
      </c>
      <c r="N501" s="22" t="n">
        <v>350</v>
      </c>
      <c r="O501" s="25">
        <f>N501*M501</f>
        <v/>
      </c>
      <c r="P501" s="23" t="n">
        <v>700</v>
      </c>
    </row>
    <row r="502">
      <c r="D502" s="4" t="inlineStr">
        <is>
          <t>لرقم التسلسلي</t>
        </is>
      </c>
      <c r="E502" s="4" t="inlineStr">
        <is>
          <t>الفئة</t>
        </is>
      </c>
      <c r="F502" s="4" t="inlineStr">
        <is>
          <t>البند</t>
        </is>
      </c>
      <c r="G502" s="4" t="inlineStr">
        <is>
          <t>وصف البند</t>
        </is>
      </c>
      <c r="H502" s="4" t="inlineStr">
        <is>
          <t>المواصفات</t>
        </is>
      </c>
      <c r="I502" s="9" t="inlineStr">
        <is>
          <t>منتج من القائمة الإلزامية</t>
        </is>
      </c>
      <c r="J502" s="9" t="inlineStr">
        <is>
          <t>الرمز الإنشائي</t>
        </is>
      </c>
      <c r="K502" s="9" t="inlineStr">
        <is>
          <t>مرفقات</t>
        </is>
      </c>
      <c r="L502" s="9" t="inlineStr">
        <is>
          <t>وحدة القياس</t>
        </is>
      </c>
      <c r="M502" s="9" t="inlineStr">
        <is>
          <t>الكمية</t>
        </is>
      </c>
      <c r="N502" s="20" t="inlineStr">
        <is>
          <t>سعر الوحدة</t>
        </is>
      </c>
      <c r="O502" s="20" t="inlineStr">
        <is>
          <t>الإجمالي</t>
        </is>
      </c>
      <c r="P502" s="13" t="n"/>
    </row>
    <row r="503">
      <c r="D503" s="21" t="n"/>
      <c r="E503" s="21" t="n"/>
      <c r="F503" s="21" t="n"/>
      <c r="G503" s="21" t="n"/>
      <c r="H503" s="21" t="n"/>
      <c r="I503" s="21" t="n"/>
      <c r="J503" s="21" t="n"/>
      <c r="K503" s="21" t="n"/>
      <c r="L503" s="21" t="n"/>
      <c r="M503" s="21" t="n"/>
      <c r="N503" s="21" t="n"/>
      <c r="O503" s="21" t="n"/>
      <c r="P503" s="13" t="n"/>
    </row>
    <row r="504" ht="34.8" customHeight="1">
      <c r="D504" s="5" t="n">
        <v>373</v>
      </c>
      <c r="E504" s="5" t="n">
        <v>373</v>
      </c>
      <c r="F504" s="5" t="inlineStr">
        <is>
          <t>محطة الكهرباء بالوقع العام جرس انذار وحدة مراقبة</t>
        </is>
      </c>
      <c r="G504" s="5" t="inlineStr">
        <is>
          <t>أعمال كهرباء 33</t>
        </is>
      </c>
      <c r="H504" s="5" t="inlineStr">
        <is>
          <t>وحدة مراقبة من النوع المقاوم للعوامل الجوية</t>
        </is>
      </c>
      <c r="I504" s="11" t="inlineStr">
        <is>
          <t>لا</t>
        </is>
      </c>
      <c r="J504" s="11" t="n"/>
      <c r="K504" s="11" t="inlineStr">
        <is>
          <t>لا يوجد مرفقات</t>
        </is>
      </c>
      <c r="L504" s="11" t="inlineStr">
        <is>
          <t>عدد</t>
        </is>
      </c>
      <c r="M504" s="11" t="n">
        <v>2</v>
      </c>
      <c r="N504" s="22" t="n">
        <v>350</v>
      </c>
      <c r="O504" s="25">
        <f>N504*M504</f>
        <v/>
      </c>
      <c r="P504" s="23" t="n">
        <v>700</v>
      </c>
    </row>
    <row r="505">
      <c r="D505" s="5" t="n">
        <v>374</v>
      </c>
      <c r="E505" s="5" t="n">
        <v>374</v>
      </c>
      <c r="F505" s="5" t="inlineStr">
        <is>
          <t>غرفة الحراسة تركيب لوحة توزيع الكهرباء</t>
        </is>
      </c>
      <c r="G505" s="5" t="inlineStr">
        <is>
          <t>أعمال كهرباء 34</t>
        </is>
      </c>
      <c r="H505" s="5" t="inlineStr">
        <is>
          <t>EDB-GUARD</t>
        </is>
      </c>
      <c r="I505" s="11" t="inlineStr">
        <is>
          <t>نعم</t>
        </is>
      </c>
      <c r="J505" s="11" t="n">
        <v>2096</v>
      </c>
      <c r="K505" s="11" t="inlineStr">
        <is>
          <t>لا يوجد مرفقات</t>
        </is>
      </c>
      <c r="L505" s="11" t="inlineStr">
        <is>
          <t>عدد</t>
        </is>
      </c>
      <c r="M505" s="11" t="n">
        <v>1</v>
      </c>
      <c r="N505" s="22" t="n">
        <v>16800</v>
      </c>
      <c r="O505" s="25">
        <f>N505*M505</f>
        <v/>
      </c>
      <c r="P505" s="23" t="n">
        <v>16800</v>
      </c>
    </row>
    <row r="506" ht="34.8" customHeight="1">
      <c r="D506" s="5" t="n">
        <v>375</v>
      </c>
      <c r="E506" s="5" t="n">
        <v>375</v>
      </c>
      <c r="F506" s="5" t="inlineStr">
        <is>
          <t>غرفة الحراسة تركيب مقبس احادى الطور 16 امبير</t>
        </is>
      </c>
      <c r="G506" s="5" t="inlineStr">
        <is>
          <t>أعمال كهرباء 35</t>
        </is>
      </c>
      <c r="H506" s="5" t="inlineStr">
        <is>
          <t>مقبس احادي الطور(1P+N+E) مزدوج 16 امبير م بأسلاك 3*3 مم2 نحاس</t>
        </is>
      </c>
      <c r="I506" s="11" t="inlineStr">
        <is>
          <t>نعم</t>
        </is>
      </c>
      <c r="J506" s="11" t="n">
        <v>2088</v>
      </c>
      <c r="K506" s="11" t="inlineStr">
        <is>
          <t>لا يوجد مرفقات</t>
        </is>
      </c>
      <c r="L506" s="11" t="inlineStr">
        <is>
          <t>عدد</t>
        </is>
      </c>
      <c r="M506" s="11" t="n">
        <v>4</v>
      </c>
      <c r="N506" s="22" t="n">
        <v>140</v>
      </c>
      <c r="O506" s="25">
        <f>N506*M506</f>
        <v/>
      </c>
      <c r="P506" s="23" t="n">
        <v>560</v>
      </c>
    </row>
    <row r="507" ht="34.8" customHeight="1">
      <c r="D507" s="5" t="n">
        <v>376</v>
      </c>
      <c r="E507" s="5" t="n">
        <v>376</v>
      </c>
      <c r="F507" s="5" t="inlineStr">
        <is>
          <t>غرفة الحراسة تركيب مقبس احادى الطور 20 امبير</t>
        </is>
      </c>
      <c r="G507" s="5" t="inlineStr">
        <is>
          <t>أعمال كهرباء 36</t>
        </is>
      </c>
      <c r="H507" s="5" t="inlineStr">
        <is>
          <t>مفتاح فصل وتشغيل (1P+E) 20أمبير - 230 فولت باسلاك 4*3 مم2 نحاسمن النوع ىالمقاوم للعوامل الجويه لزوم السخان من المفتاح الى اللوحة ومن المفتاح الى السخان والمفتاح مزود بلمبة بيان</t>
        </is>
      </c>
      <c r="I507" s="11" t="inlineStr">
        <is>
          <t>نعم</t>
        </is>
      </c>
      <c r="J507" s="11" t="n">
        <v>2095</v>
      </c>
      <c r="K507" s="11" t="inlineStr">
        <is>
          <t>لا يوجد مرفقات</t>
        </is>
      </c>
      <c r="L507" s="11" t="inlineStr">
        <is>
          <t>عدد</t>
        </is>
      </c>
      <c r="M507" s="11" t="n">
        <v>1</v>
      </c>
      <c r="N507" s="22" t="n">
        <v>140</v>
      </c>
      <c r="O507" s="25">
        <f>N507*M507</f>
        <v/>
      </c>
      <c r="P507" s="23" t="n">
        <v>140</v>
      </c>
    </row>
    <row r="508" ht="34.8" customHeight="1">
      <c r="D508" s="5" t="n">
        <v>377</v>
      </c>
      <c r="E508" s="5" t="n">
        <v>377</v>
      </c>
      <c r="F508" s="5" t="inlineStr">
        <is>
          <t>غرفة الحراسة تركيب مقبس احادى الطور 25 امبير</t>
        </is>
      </c>
      <c r="G508" s="5" t="inlineStr">
        <is>
          <t>أعمال كهرباء 37</t>
        </is>
      </c>
      <c r="H508" s="5" t="inlineStr">
        <is>
          <t>مفتاح فصل وتشغيل (1P+E) 25أمبير - 230 فولت باسلاك 6*3 مم2 نحاس لزوم التكييف من المفتاح الى اللوحة ومن المفتاح الى المروحة والمفتاح مزود بلمبة بيان</t>
        </is>
      </c>
      <c r="I508" s="11" t="inlineStr">
        <is>
          <t>نعم</t>
        </is>
      </c>
      <c r="J508" s="11" t="n">
        <v>2095</v>
      </c>
      <c r="K508" s="11" t="inlineStr">
        <is>
          <t>لا يوجد مرفقات</t>
        </is>
      </c>
      <c r="L508" s="11" t="inlineStr">
        <is>
          <t>عدد</t>
        </is>
      </c>
      <c r="M508" s="11" t="n">
        <v>1</v>
      </c>
      <c r="N508" s="22" t="n">
        <v>140</v>
      </c>
      <c r="O508" s="25">
        <f>N508*M508</f>
        <v/>
      </c>
      <c r="P508" s="23" t="n">
        <v>140</v>
      </c>
    </row>
    <row r="509" ht="34.8" customHeight="1">
      <c r="D509" s="5" t="n">
        <v>378</v>
      </c>
      <c r="E509" s="5" t="n">
        <v>378</v>
      </c>
      <c r="F509" s="5" t="inlineStr">
        <is>
          <t>غرفة الحراسة تركيب مقبس احادى الطور 10 امبير</t>
        </is>
      </c>
      <c r="G509" s="5" t="inlineStr">
        <is>
          <t>أعمال كهرباء 38</t>
        </is>
      </c>
      <c r="H509" s="5" t="inlineStr">
        <is>
          <t>مفتاح اتجاة واحد بعدد 1 لقمة 10 أمبير ,230 فولت من النوع المقاوم للعوامل الجويه</t>
        </is>
      </c>
      <c r="I509" s="11" t="inlineStr">
        <is>
          <t>نعم</t>
        </is>
      </c>
      <c r="J509" s="11" t="n">
        <v>2095</v>
      </c>
      <c r="K509" s="11" t="inlineStr">
        <is>
          <t>لا يوجد مرفقات</t>
        </is>
      </c>
      <c r="L509" s="11" t="inlineStr">
        <is>
          <t>عدد</t>
        </is>
      </c>
      <c r="M509" s="11" t="n">
        <v>1</v>
      </c>
      <c r="N509" s="22" t="n">
        <v>140</v>
      </c>
      <c r="O509" s="25">
        <f>N509*M509</f>
        <v/>
      </c>
      <c r="P509" s="23" t="n">
        <v>140</v>
      </c>
    </row>
    <row r="510">
      <c r="D510" s="4" t="inlineStr">
        <is>
          <t>لرقم التسلسلي</t>
        </is>
      </c>
      <c r="E510" s="4" t="inlineStr">
        <is>
          <t>الفئة</t>
        </is>
      </c>
      <c r="F510" s="4" t="inlineStr">
        <is>
          <t>البند</t>
        </is>
      </c>
      <c r="G510" s="4" t="inlineStr">
        <is>
          <t>وصف البند</t>
        </is>
      </c>
      <c r="H510" s="4" t="inlineStr">
        <is>
          <t>المواصفات</t>
        </is>
      </c>
      <c r="I510" s="9" t="inlineStr">
        <is>
          <t>منتج من القائمة الإلزامية</t>
        </is>
      </c>
      <c r="J510" s="9" t="inlineStr">
        <is>
          <t>الرمز الإنشائي</t>
        </is>
      </c>
      <c r="K510" s="9" t="inlineStr">
        <is>
          <t>مرفقات</t>
        </is>
      </c>
      <c r="L510" s="9" t="inlineStr">
        <is>
          <t>وحدة القياس</t>
        </is>
      </c>
      <c r="M510" s="9" t="inlineStr">
        <is>
          <t>الكمية</t>
        </is>
      </c>
      <c r="N510" s="20" t="inlineStr">
        <is>
          <t>سعر الوحدة</t>
        </is>
      </c>
      <c r="O510" s="20" t="inlineStr">
        <is>
          <t>الإجمالي</t>
        </is>
      </c>
      <c r="P510" s="13" t="n"/>
    </row>
    <row r="511">
      <c r="D511" s="21" t="n"/>
      <c r="E511" s="21" t="n"/>
      <c r="F511" s="21" t="n"/>
      <c r="G511" s="21" t="n"/>
      <c r="H511" s="21" t="n"/>
      <c r="I511" s="21" t="n"/>
      <c r="J511" s="21" t="n"/>
      <c r="K511" s="21" t="n"/>
      <c r="L511" s="21" t="n"/>
      <c r="M511" s="21" t="n"/>
      <c r="N511" s="21" t="n"/>
      <c r="O511" s="21" t="n"/>
      <c r="P511" s="13" t="n"/>
    </row>
    <row r="512" ht="34.8" customHeight="1">
      <c r="D512" s="5" t="n">
        <v>379</v>
      </c>
      <c r="E512" s="5" t="n">
        <v>379</v>
      </c>
      <c r="F512" s="5" t="inlineStr">
        <is>
          <t>غرفة الحراسة تركيب مقبس احادى الطور 10 امبير أ</t>
        </is>
      </c>
      <c r="G512" s="5" t="inlineStr">
        <is>
          <t>أعمال كهرباء 39</t>
        </is>
      </c>
      <c r="H512" s="5" t="inlineStr">
        <is>
          <t>مفتاح اتجاة واحد بعدد 1 لقمة 10 أمبير ,230 فولت</t>
        </is>
      </c>
      <c r="I512" s="11" t="inlineStr">
        <is>
          <t>نعم</t>
        </is>
      </c>
      <c r="J512" s="11" t="n">
        <v>2095</v>
      </c>
      <c r="K512" s="11" t="inlineStr">
        <is>
          <t>لا يوجد مرفقات</t>
        </is>
      </c>
      <c r="L512" s="11" t="inlineStr">
        <is>
          <t>عدد</t>
        </is>
      </c>
      <c r="M512" s="11" t="n">
        <v>1</v>
      </c>
      <c r="N512" s="22" t="n">
        <v>140</v>
      </c>
      <c r="O512" s="25">
        <f>N512*M512</f>
        <v/>
      </c>
      <c r="P512" s="23" t="n">
        <v>140</v>
      </c>
    </row>
    <row r="513">
      <c r="D513" s="5" t="n">
        <v>380</v>
      </c>
      <c r="E513" s="5" t="n">
        <v>380</v>
      </c>
      <c r="F513" s="5" t="inlineStr">
        <is>
          <t>غرفة الحراسة تركيب مخرج انارة</t>
        </is>
      </c>
      <c r="G513" s="5" t="inlineStr">
        <is>
          <t>أعمال كهرباء 40</t>
        </is>
      </c>
      <c r="H513" s="5" t="inlineStr">
        <is>
          <t>مخرج انارة بأسلاك 3×3 مم2 نحاس</t>
        </is>
      </c>
      <c r="I513" s="11" t="inlineStr">
        <is>
          <t>نعم</t>
        </is>
      </c>
      <c r="J513" s="11" t="n">
        <v>2091</v>
      </c>
      <c r="K513" s="11" t="inlineStr">
        <is>
          <t>لا يوجد مرفقات</t>
        </is>
      </c>
      <c r="L513" s="11" t="inlineStr">
        <is>
          <t>عدد</t>
        </is>
      </c>
      <c r="M513" s="11" t="n">
        <v>4</v>
      </c>
      <c r="N513" s="22" t="n">
        <v>70</v>
      </c>
      <c r="O513" s="25">
        <f>N513*M513</f>
        <v/>
      </c>
      <c r="P513" s="23" t="n">
        <v>280</v>
      </c>
    </row>
    <row r="514">
      <c r="D514" s="5" t="n">
        <v>381</v>
      </c>
      <c r="E514" s="5" t="n">
        <v>381</v>
      </c>
      <c r="F514" s="5" t="inlineStr">
        <is>
          <t>غرفة الحراسة تركيب كشاف ليد بانل</t>
        </is>
      </c>
      <c r="G514" s="5" t="inlineStr">
        <is>
          <t>أعمال كهرباء 41</t>
        </is>
      </c>
      <c r="H514" s="5" t="inlineStr">
        <is>
          <t>كشاف ليد بانل 60*60سم - 40 وات 220و فولت و 60 هرتز للتركيب غاطس بالسقف وبدرجة حرارة لون لاتقل عن 4000 كلفن</t>
        </is>
      </c>
      <c r="I514" s="11" t="inlineStr">
        <is>
          <t>نعم</t>
        </is>
      </c>
      <c r="J514" s="11" t="n">
        <v>2087</v>
      </c>
      <c r="K514" s="11" t="inlineStr">
        <is>
          <t>لا يوجد مرفقات</t>
        </is>
      </c>
      <c r="L514" s="11" t="inlineStr">
        <is>
          <t>عدد</t>
        </is>
      </c>
      <c r="M514" s="11" t="n">
        <v>2</v>
      </c>
      <c r="N514" s="22" t="n">
        <v>105</v>
      </c>
      <c r="O514" s="25">
        <f>N514*M514</f>
        <v/>
      </c>
      <c r="P514" s="23" t="n">
        <v>210</v>
      </c>
    </row>
    <row r="515">
      <c r="D515" s="5" t="n">
        <v>382</v>
      </c>
      <c r="E515" s="5" t="n">
        <v>382</v>
      </c>
      <c r="F515" s="5" t="inlineStr">
        <is>
          <t>غرفة الحراسة تركيب سبوت ليد</t>
        </is>
      </c>
      <c r="G515" s="5" t="inlineStr">
        <is>
          <t>أعمال كهرباء 42</t>
        </is>
      </c>
      <c r="H515" s="5" t="inlineStr">
        <is>
          <t>سبوت ليد - 12 وات 220و فولت و 60 هرتز للتركيب غاطس بالسقف من النوع المقاوم للعوامل الجوية وبدرجة حرارة لون لاتقل عن 4000 كلفن</t>
        </is>
      </c>
      <c r="I515" s="11" t="inlineStr">
        <is>
          <t>نعم</t>
        </is>
      </c>
      <c r="J515" s="11" t="n">
        <v>2087</v>
      </c>
      <c r="K515" s="11" t="inlineStr">
        <is>
          <t>لا يوجد مرفقات</t>
        </is>
      </c>
      <c r="L515" s="11" t="inlineStr">
        <is>
          <t>عدد</t>
        </is>
      </c>
      <c r="M515" s="11" t="n">
        <v>1</v>
      </c>
      <c r="N515" s="22" t="n">
        <v>70</v>
      </c>
      <c r="O515" s="25">
        <f>N515*M515</f>
        <v/>
      </c>
      <c r="P515" s="23" t="n">
        <v>70</v>
      </c>
    </row>
    <row r="516" ht="87" customHeight="1">
      <c r="D516" s="5" t="n">
        <v>383</v>
      </c>
      <c r="E516" s="5" t="n">
        <v>383</v>
      </c>
      <c r="F516" s="5" t="inlineStr">
        <is>
          <t>غرفة الحراسة تركيب مخرج حريق</t>
        </is>
      </c>
      <c r="G516" s="5" t="inlineStr">
        <is>
          <t>أعمال كهرباء 43</t>
        </is>
      </c>
      <c r="H516" s="5" t="inlineStr">
        <is>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is>
      </c>
      <c r="I516" s="11" t="inlineStr">
        <is>
          <t>لا</t>
        </is>
      </c>
      <c r="J516" s="11" t="n"/>
      <c r="K516" s="11" t="inlineStr">
        <is>
          <t>لا يوجد مرفقات</t>
        </is>
      </c>
      <c r="L516" s="11" t="inlineStr">
        <is>
          <t>عدد</t>
        </is>
      </c>
      <c r="M516" s="11" t="n">
        <v>3</v>
      </c>
      <c r="N516" s="22" t="n">
        <v>210</v>
      </c>
      <c r="O516" s="25">
        <f>N516*M516</f>
        <v/>
      </c>
      <c r="P516" s="23" t="n">
        <v>630</v>
      </c>
    </row>
    <row r="517">
      <c r="D517" s="5" t="n">
        <v>384</v>
      </c>
      <c r="E517" s="5" t="n">
        <v>384</v>
      </c>
      <c r="F517" s="5" t="inlineStr">
        <is>
          <t>غرفة الحراسة تركيب وحدة كاسر زجاجى</t>
        </is>
      </c>
      <c r="G517" s="5" t="inlineStr">
        <is>
          <t>أعمال كهرباء 44</t>
        </is>
      </c>
      <c r="H517" s="5" t="inlineStr">
        <is>
          <t>وحدة كاسر زجاجى من النوع المقاوم للعوامل الجوية</t>
        </is>
      </c>
      <c r="I517" s="11" t="inlineStr">
        <is>
          <t>لا</t>
        </is>
      </c>
      <c r="J517" s="11" t="n"/>
      <c r="K517" s="11" t="inlineStr">
        <is>
          <t>لا يوجد مرفقات</t>
        </is>
      </c>
      <c r="L517" s="11" t="inlineStr">
        <is>
          <t>عدد</t>
        </is>
      </c>
      <c r="M517" s="11" t="n">
        <v>1</v>
      </c>
      <c r="N517" s="22" t="n">
        <v>350</v>
      </c>
      <c r="O517" s="25">
        <f>N517*M517</f>
        <v/>
      </c>
      <c r="P517" s="23" t="n">
        <v>350</v>
      </c>
    </row>
    <row r="518">
      <c r="D518" s="4" t="inlineStr">
        <is>
          <t>الرقم التسلسلي</t>
        </is>
      </c>
      <c r="E518" s="4" t="inlineStr">
        <is>
          <t>الفئة</t>
        </is>
      </c>
      <c r="F518" s="4" t="inlineStr">
        <is>
          <t>البند</t>
        </is>
      </c>
      <c r="G518" s="4" t="inlineStr">
        <is>
          <t>وصف البند</t>
        </is>
      </c>
      <c r="H518" s="4" t="inlineStr">
        <is>
          <t>المواصفات</t>
        </is>
      </c>
      <c r="I518" s="9" t="inlineStr">
        <is>
          <t>منتج من القائمة الإلزامية</t>
        </is>
      </c>
      <c r="J518" s="9" t="inlineStr">
        <is>
          <t>الرمز الإنشائي</t>
        </is>
      </c>
      <c r="K518" s="9" t="inlineStr">
        <is>
          <t>مرفقات</t>
        </is>
      </c>
      <c r="L518" s="9" t="inlineStr">
        <is>
          <t>وحدة القياس</t>
        </is>
      </c>
      <c r="M518" s="9" t="inlineStr">
        <is>
          <t>الكمية</t>
        </is>
      </c>
      <c r="N518" s="20" t="inlineStr">
        <is>
          <t>سعر الوحدة</t>
        </is>
      </c>
      <c r="O518" s="20" t="inlineStr">
        <is>
          <t>الإجمالي</t>
        </is>
      </c>
      <c r="P518" s="13" t="n"/>
    </row>
    <row r="519">
      <c r="D519" s="21" t="n"/>
      <c r="E519" s="21" t="n"/>
      <c r="F519" s="21" t="n"/>
      <c r="G519" s="21" t="n"/>
      <c r="H519" s="21" t="n"/>
      <c r="I519" s="21" t="n"/>
      <c r="J519" s="21" t="n"/>
      <c r="K519" s="21" t="n"/>
      <c r="L519" s="21" t="n"/>
      <c r="M519" s="21" t="n"/>
      <c r="N519" s="21" t="n"/>
      <c r="O519" s="21" t="n"/>
      <c r="P519" s="13" t="n"/>
    </row>
    <row r="520">
      <c r="D520" s="5" t="n">
        <v>385</v>
      </c>
      <c r="E520" s="5" t="n">
        <v>385</v>
      </c>
      <c r="F520" s="5" t="inlineStr">
        <is>
          <t>غرفة الحراسة تركيب جرس انذار</t>
        </is>
      </c>
      <c r="G520" s="5" t="inlineStr">
        <is>
          <t>أعمال كهرباء 45</t>
        </is>
      </c>
      <c r="H520" s="5" t="inlineStr">
        <is>
          <t>جرس إنذار من النوع المقاوم للعوامل الجوية</t>
        </is>
      </c>
      <c r="I520" s="11" t="inlineStr">
        <is>
          <t>لا</t>
        </is>
      </c>
      <c r="J520" s="11" t="n"/>
      <c r="K520" s="11" t="inlineStr">
        <is>
          <t>لا يوجد مرفقات</t>
        </is>
      </c>
      <c r="L520" s="11" t="inlineStr">
        <is>
          <t>عدد</t>
        </is>
      </c>
      <c r="M520" s="11" t="n">
        <v>1</v>
      </c>
      <c r="N520" s="22" t="n">
        <v>350</v>
      </c>
      <c r="O520" s="25">
        <f>N520*M520</f>
        <v/>
      </c>
      <c r="P520" s="23" t="n">
        <v>350</v>
      </c>
    </row>
    <row r="521">
      <c r="D521" s="5" t="n">
        <v>386</v>
      </c>
      <c r="E521" s="5" t="n">
        <v>386</v>
      </c>
      <c r="F521" s="5" t="inlineStr">
        <is>
          <t>غرفة الحراسة تركيب كاشف انذار</t>
        </is>
      </c>
      <c r="G521" s="5" t="inlineStr">
        <is>
          <t>أعمال كهرباء 46</t>
        </is>
      </c>
      <c r="H521" s="5" t="inlineStr">
        <is>
          <t>كاشف انذار دخان من النوع المعنون</t>
        </is>
      </c>
      <c r="I521" s="11" t="inlineStr">
        <is>
          <t>لا</t>
        </is>
      </c>
      <c r="J521" s="11" t="n"/>
      <c r="K521" s="11" t="inlineStr">
        <is>
          <t>لا يوجد مرفقات</t>
        </is>
      </c>
      <c r="L521" s="11" t="inlineStr">
        <is>
          <t>عدد</t>
        </is>
      </c>
      <c r="M521" s="11" t="n">
        <v>1</v>
      </c>
      <c r="N521" s="22" t="n">
        <v>350</v>
      </c>
      <c r="O521" s="25">
        <f>N521*M521</f>
        <v/>
      </c>
      <c r="P521" s="23" t="n">
        <v>350</v>
      </c>
    </row>
    <row r="522">
      <c r="D522" s="5" t="n">
        <v>387</v>
      </c>
      <c r="E522" s="5" t="n">
        <v>387</v>
      </c>
      <c r="F522" s="5" t="inlineStr">
        <is>
          <t>غرفة الحراسة تركيب لوحة تكرارية</t>
        </is>
      </c>
      <c r="G522" s="5" t="inlineStr">
        <is>
          <t>أعمال كهرباء 47</t>
        </is>
      </c>
      <c r="H522" s="5" t="inlineStr">
        <is>
          <t>لوحة تكرارية</t>
        </is>
      </c>
      <c r="I522" s="11" t="inlineStr">
        <is>
          <t>لا</t>
        </is>
      </c>
      <c r="J522" s="11" t="n"/>
      <c r="K522" s="11" t="inlineStr">
        <is>
          <t>لا يوجد مرفقات</t>
        </is>
      </c>
      <c r="L522" s="11" t="inlineStr">
        <is>
          <t>عدد</t>
        </is>
      </c>
      <c r="M522" s="11" t="n">
        <v>1</v>
      </c>
      <c r="N522" s="22" t="n">
        <v>700</v>
      </c>
      <c r="O522" s="25">
        <f>N522*M522</f>
        <v/>
      </c>
      <c r="P522" s="23" t="n">
        <v>700</v>
      </c>
    </row>
    <row r="523">
      <c r="D523" s="5" t="n">
        <v>388</v>
      </c>
      <c r="E523" s="5" t="n">
        <v>388</v>
      </c>
      <c r="F523" s="5" t="inlineStr">
        <is>
          <t>غرفة المضخة تركيب لوحة توزيع الكهرباء</t>
        </is>
      </c>
      <c r="G523" s="5" t="inlineStr">
        <is>
          <t>أعمال كهرباء 48</t>
        </is>
      </c>
      <c r="H523" s="5" t="inlineStr">
        <is>
          <t>EDB-PUMP</t>
        </is>
      </c>
      <c r="I523" s="11" t="inlineStr">
        <is>
          <t>نعم</t>
        </is>
      </c>
      <c r="J523" s="11" t="n">
        <v>2096</v>
      </c>
      <c r="K523" s="11" t="inlineStr">
        <is>
          <t>لا يوجد مرفقات</t>
        </is>
      </c>
      <c r="L523" s="11" t="inlineStr">
        <is>
          <t>عدد</t>
        </is>
      </c>
      <c r="M523" s="11" t="n">
        <v>1</v>
      </c>
      <c r="N523" s="22" t="n">
        <v>16800</v>
      </c>
      <c r="O523" s="25">
        <f>N523*M523</f>
        <v/>
      </c>
      <c r="P523" s="23" t="n">
        <v>16800</v>
      </c>
    </row>
    <row r="524">
      <c r="D524" s="5" t="n">
        <v>389</v>
      </c>
      <c r="E524" s="5" t="n">
        <v>389</v>
      </c>
      <c r="F524" s="5" t="inlineStr">
        <is>
          <t>غرفة المضخة تركيب كابل 4</t>
        </is>
      </c>
      <c r="G524" s="5" t="inlineStr">
        <is>
          <t>أعمال كهرباء 49</t>
        </is>
      </c>
      <c r="H524" s="5" t="inlineStr">
        <is>
          <t>كابل( 4*4)+1*4 مم2 نحاس</t>
        </is>
      </c>
      <c r="I524" s="11" t="inlineStr">
        <is>
          <t>نعم</t>
        </is>
      </c>
      <c r="J524" s="11" t="n">
        <v>2083</v>
      </c>
      <c r="K524" s="11" t="inlineStr">
        <is>
          <t>لا يوجد مرفقات</t>
        </is>
      </c>
      <c r="L524" s="11" t="inlineStr">
        <is>
          <t>مط</t>
        </is>
      </c>
      <c r="M524" s="11" t="n">
        <v>30</v>
      </c>
      <c r="N524" s="22" t="n">
        <v>70</v>
      </c>
      <c r="O524" s="25">
        <f>N524*M524</f>
        <v/>
      </c>
      <c r="P524" s="23" t="n">
        <v>2100</v>
      </c>
    </row>
    <row r="525">
      <c r="D525" s="5" t="n">
        <v>390</v>
      </c>
      <c r="E525" s="5" t="n">
        <v>390</v>
      </c>
      <c r="F525" s="5" t="inlineStr">
        <is>
          <t>غرفة المضخة تركيب كابل 10</t>
        </is>
      </c>
      <c r="G525" s="5" t="inlineStr">
        <is>
          <t>أعمال كهرباء 50</t>
        </is>
      </c>
      <c r="H525" s="5" t="inlineStr">
        <is>
          <t>كابل( 4*10)+1*10 مم2 نحاس</t>
        </is>
      </c>
      <c r="I525" s="11" t="inlineStr">
        <is>
          <t>نعم</t>
        </is>
      </c>
      <c r="J525" s="11" t="n">
        <v>2083</v>
      </c>
      <c r="K525" s="11" t="inlineStr">
        <is>
          <t>لا يوجد مرفقات</t>
        </is>
      </c>
      <c r="L525" s="11" t="inlineStr">
        <is>
          <t>مط</t>
        </is>
      </c>
      <c r="M525" s="11" t="n">
        <v>5</v>
      </c>
      <c r="N525" s="22" t="n">
        <v>70</v>
      </c>
      <c r="O525" s="25">
        <f>N525*M525</f>
        <v/>
      </c>
      <c r="P525" s="23" t="n">
        <v>350</v>
      </c>
    </row>
    <row r="526">
      <c r="D526" s="4" t="inlineStr">
        <is>
          <t>لرقم التسلسلي</t>
        </is>
      </c>
      <c r="E526" s="4" t="inlineStr">
        <is>
          <t>الفئة</t>
        </is>
      </c>
      <c r="F526" s="4" t="inlineStr">
        <is>
          <t>البند</t>
        </is>
      </c>
      <c r="G526" s="4" t="inlineStr">
        <is>
          <t>وصف البند</t>
        </is>
      </c>
      <c r="H526" s="4" t="inlineStr">
        <is>
          <t>المواصفات</t>
        </is>
      </c>
      <c r="I526" s="9" t="inlineStr">
        <is>
          <t>منتج من القائمة الإلزامية</t>
        </is>
      </c>
      <c r="J526" s="9" t="inlineStr">
        <is>
          <t>الرمز الإنشائي</t>
        </is>
      </c>
      <c r="K526" s="9" t="inlineStr">
        <is>
          <t>مرفقات</t>
        </is>
      </c>
      <c r="L526" s="9" t="inlineStr">
        <is>
          <t>وحدة القياس</t>
        </is>
      </c>
      <c r="M526" s="9" t="inlineStr">
        <is>
          <t>الكمية</t>
        </is>
      </c>
      <c r="N526" s="20" t="inlineStr">
        <is>
          <t>سعر الوحدة</t>
        </is>
      </c>
      <c r="O526" s="20" t="inlineStr">
        <is>
          <t>الإجمالي</t>
        </is>
      </c>
      <c r="P526" s="13" t="n"/>
    </row>
    <row r="527">
      <c r="D527" s="21" t="n"/>
      <c r="E527" s="21" t="n"/>
      <c r="F527" s="21" t="n"/>
      <c r="G527" s="21" t="n"/>
      <c r="H527" s="21" t="n"/>
      <c r="I527" s="21" t="n"/>
      <c r="J527" s="21" t="n"/>
      <c r="K527" s="21" t="n"/>
      <c r="L527" s="21" t="n"/>
      <c r="M527" s="21" t="n"/>
      <c r="N527" s="21" t="n"/>
      <c r="O527" s="21" t="n"/>
      <c r="P527" s="13" t="n"/>
    </row>
    <row r="528">
      <c r="D528" s="5" t="n">
        <v>391</v>
      </c>
      <c r="E528" s="5" t="n">
        <v>391</v>
      </c>
      <c r="F528" s="5" t="inlineStr">
        <is>
          <t>غرفة المضخة تركيب كابل 185</t>
        </is>
      </c>
      <c r="G528" s="5" t="inlineStr">
        <is>
          <t>أعمال كهرباء 51</t>
        </is>
      </c>
      <c r="H528" s="5" t="inlineStr">
        <is>
          <t>كابل( 4*185)+1*95 مم2 نحاس</t>
        </is>
      </c>
      <c r="I528" s="11" t="inlineStr">
        <is>
          <t>نعم</t>
        </is>
      </c>
      <c r="J528" s="11" t="n">
        <v>2083</v>
      </c>
      <c r="K528" s="11" t="inlineStr">
        <is>
          <t>لا يوجد مرفقات</t>
        </is>
      </c>
      <c r="L528" s="11" t="inlineStr">
        <is>
          <t>مط</t>
        </is>
      </c>
      <c r="M528" s="11" t="n">
        <v>5</v>
      </c>
      <c r="N528" s="22" t="n">
        <v>336</v>
      </c>
      <c r="O528" s="25">
        <f>N528*M528</f>
        <v/>
      </c>
      <c r="P528" s="23" t="n">
        <v>1680</v>
      </c>
    </row>
    <row r="529" ht="34.8" customHeight="1">
      <c r="D529" s="5" t="n">
        <v>392</v>
      </c>
      <c r="E529" s="5" t="n">
        <v>392</v>
      </c>
      <c r="F529" s="5" t="inlineStr">
        <is>
          <t>غرفة المضخة تركيب مقبس احادي الطور 16 امبير</t>
        </is>
      </c>
      <c r="G529" s="5" t="inlineStr">
        <is>
          <t>أعمال كهرباء 52</t>
        </is>
      </c>
      <c r="H529" s="5" t="inlineStr">
        <is>
          <t>مقبس احادي الطور(1P+N+E) مزدوج 16 امبير من النوع المقاوم للماء WATER PROOF بدرجة حماية IP=54 (قوى) بأسلاك 3*4 مم2 نحاس</t>
        </is>
      </c>
      <c r="I529" s="11" t="inlineStr">
        <is>
          <t>نعم</t>
        </is>
      </c>
      <c r="J529" s="11" t="n">
        <v>2088</v>
      </c>
      <c r="K529" s="11" t="inlineStr">
        <is>
          <t>لا يوجد مرفقات</t>
        </is>
      </c>
      <c r="L529" s="11" t="inlineStr">
        <is>
          <t>عدد</t>
        </is>
      </c>
      <c r="M529" s="11" t="n">
        <v>4</v>
      </c>
      <c r="N529" s="22" t="n">
        <v>140</v>
      </c>
      <c r="O529" s="25">
        <f>N529*M529</f>
        <v/>
      </c>
      <c r="P529" s="23" t="n">
        <v>560</v>
      </c>
    </row>
    <row r="530" ht="34.8" customHeight="1">
      <c r="D530" s="5" t="n">
        <v>393</v>
      </c>
      <c r="E530" s="5" t="n">
        <v>393</v>
      </c>
      <c r="F530" s="5" t="inlineStr">
        <is>
          <t>غرفة المضخة تركيب مقبس احادي الطور 20 امبير</t>
        </is>
      </c>
      <c r="G530" s="5" t="inlineStr">
        <is>
          <t>أعمال كهرباء 53</t>
        </is>
      </c>
      <c r="H530" s="5" t="inlineStr">
        <is>
          <t>مفتاح فصل وتشغيل (3P+N+E) 20أمبير - 415 فولت من النوع المضاد للمياه IP54 لزوم طلمبات المياه والغسيل والري من المفتاح الى اللوحة ومن المفتاح الى المروحة والمفتاح مزود بلمبة بيان</t>
        </is>
      </c>
      <c r="I530" s="11" t="inlineStr">
        <is>
          <t>نعم</t>
        </is>
      </c>
      <c r="J530" s="11" t="n">
        <v>2085</v>
      </c>
      <c r="K530" s="11" t="inlineStr">
        <is>
          <t>لا يوجد مرفقات</t>
        </is>
      </c>
      <c r="L530" s="11" t="inlineStr">
        <is>
          <t>عدد</t>
        </is>
      </c>
      <c r="M530" s="11" t="n">
        <v>3</v>
      </c>
      <c r="N530" s="22" t="n">
        <v>140</v>
      </c>
      <c r="O530" s="25">
        <f>N530*M530</f>
        <v/>
      </c>
      <c r="P530" s="23" t="n">
        <v>420</v>
      </c>
    </row>
    <row r="531" ht="34.8" customHeight="1">
      <c r="D531" s="5" t="n">
        <v>394</v>
      </c>
      <c r="E531" s="5" t="n">
        <v>394</v>
      </c>
      <c r="F531" s="5" t="inlineStr">
        <is>
          <t>غرفة المضخة تركيب مقبس احادي الطور 40 امبير</t>
        </is>
      </c>
      <c r="G531" s="5" t="inlineStr">
        <is>
          <t>أعمال كهرباء 54</t>
        </is>
      </c>
      <c r="H531" s="5" t="inlineStr">
        <is>
          <t>مفتاح فصل وتشغيل (3P+N+E) 40أمبير - 415 فولت من النوع المضاد للمياه IP54 لزوم طلمبة الحريق الجوكي من المفتاح الى اللوحة ومن المفتاح الى المروحة والمفتاح مزود بلمبة بيان</t>
        </is>
      </c>
      <c r="I531" s="11" t="inlineStr">
        <is>
          <t>نعم</t>
        </is>
      </c>
      <c r="J531" s="11" t="n">
        <v>2085</v>
      </c>
      <c r="K531" s="11" t="inlineStr">
        <is>
          <t>لا يوجد مرفقات</t>
        </is>
      </c>
      <c r="L531" s="11" t="inlineStr">
        <is>
          <t>عدد</t>
        </is>
      </c>
      <c r="M531" s="11" t="n">
        <v>1</v>
      </c>
      <c r="N531" s="22" t="n">
        <v>140</v>
      </c>
      <c r="O531" s="25">
        <f>N531*M531</f>
        <v/>
      </c>
      <c r="P531" s="23" t="n">
        <v>140</v>
      </c>
    </row>
    <row r="532" ht="34.8" customHeight="1">
      <c r="D532" s="5" t="n">
        <v>395</v>
      </c>
      <c r="E532" s="5" t="n">
        <v>395</v>
      </c>
      <c r="F532" s="5" t="inlineStr">
        <is>
          <t>غرفة المضخة تركيب مقبس احادي الطور 40 امبير مضاد للمياه</t>
        </is>
      </c>
      <c r="G532" s="5" t="inlineStr">
        <is>
          <t>أعمال كهرباء 55</t>
        </is>
      </c>
      <c r="H532" s="5" t="inlineStr">
        <is>
          <t>مفتاح فصل وتشغيل (3P+N+E) 40أمبير - 415 فولت من النوع المضاد للمياه IP54 لزوم طلمبة الحريق الكهرباء من المفتاح الى اللوحة ومن المفتاح الى المروحة والمفتاح مزود بلمبة بيان</t>
        </is>
      </c>
      <c r="I532" s="11" t="inlineStr">
        <is>
          <t>نعم</t>
        </is>
      </c>
      <c r="J532" s="11" t="n">
        <v>2085</v>
      </c>
      <c r="K532" s="11" t="inlineStr">
        <is>
          <t>لا يوجد مرفقات</t>
        </is>
      </c>
      <c r="L532" s="11" t="inlineStr">
        <is>
          <t>عدد</t>
        </is>
      </c>
      <c r="M532" s="11" t="n">
        <v>1</v>
      </c>
      <c r="N532" s="22" t="n">
        <v>140</v>
      </c>
      <c r="O532" s="25">
        <f>N532*M532</f>
        <v/>
      </c>
      <c r="P532" s="23" t="n">
        <v>140</v>
      </c>
    </row>
    <row r="533" ht="34.8" customHeight="1">
      <c r="D533" s="5" t="n">
        <v>396</v>
      </c>
      <c r="E533" s="5" t="n">
        <v>396</v>
      </c>
      <c r="F533" s="5" t="inlineStr">
        <is>
          <t>غرفة المضخة تركيب مقبس احادي الطور 10 امبير مضاد للمياه</t>
        </is>
      </c>
      <c r="G533" s="5" t="inlineStr">
        <is>
          <t>أعمال كهرباء 56</t>
        </is>
      </c>
      <c r="H533" s="5" t="inlineStr">
        <is>
          <t>مفتاح اتجاة واحد بعدد 2 لقمة 10 أمبير ,230 فولت من النوع المقاوم للعوامل الجوية IP=54 WATER PROOF</t>
        </is>
      </c>
      <c r="I533" s="11" t="inlineStr">
        <is>
          <t>نعم</t>
        </is>
      </c>
      <c r="J533" s="11" t="n">
        <v>2085</v>
      </c>
      <c r="K533" s="11" t="inlineStr">
        <is>
          <t>لا يوجد مرفقات</t>
        </is>
      </c>
      <c r="L533" s="11" t="inlineStr">
        <is>
          <t>عدد</t>
        </is>
      </c>
      <c r="M533" s="11" t="n">
        <v>1</v>
      </c>
      <c r="N533" s="22" t="n">
        <v>140</v>
      </c>
      <c r="O533" s="25">
        <f>N533*M533</f>
        <v/>
      </c>
      <c r="P533" s="23" t="n">
        <v>140</v>
      </c>
    </row>
    <row r="534">
      <c r="D534" s="4" t="inlineStr">
        <is>
          <t>لرقم التسلسلي</t>
        </is>
      </c>
      <c r="E534" s="4" t="inlineStr">
        <is>
          <t>الفئة</t>
        </is>
      </c>
      <c r="F534" s="4" t="inlineStr">
        <is>
          <t>البند</t>
        </is>
      </c>
      <c r="G534" s="4" t="inlineStr">
        <is>
          <t>وصف البند</t>
        </is>
      </c>
      <c r="H534" s="4" t="inlineStr">
        <is>
          <t>المواصفات</t>
        </is>
      </c>
      <c r="I534" s="9" t="inlineStr">
        <is>
          <t>منتج من القائمة الإلزامية</t>
        </is>
      </c>
      <c r="J534" s="9" t="inlineStr">
        <is>
          <t>الرمز الإنشائي</t>
        </is>
      </c>
      <c r="K534" s="9" t="inlineStr">
        <is>
          <t>مرفقات</t>
        </is>
      </c>
      <c r="L534" s="9" t="inlineStr">
        <is>
          <t>وحدة القياس</t>
        </is>
      </c>
      <c r="M534" s="9" t="inlineStr">
        <is>
          <t>الكمية</t>
        </is>
      </c>
      <c r="N534" s="20" t="inlineStr">
        <is>
          <t>سعر الوحدة</t>
        </is>
      </c>
      <c r="O534" s="20" t="inlineStr">
        <is>
          <t>الإجمالي</t>
        </is>
      </c>
      <c r="P534" s="13" t="n"/>
    </row>
    <row r="535">
      <c r="D535" s="21" t="n"/>
      <c r="E535" s="21" t="n"/>
      <c r="F535" s="21" t="n"/>
      <c r="G535" s="21" t="n"/>
      <c r="H535" s="21" t="n"/>
      <c r="I535" s="21" t="n"/>
      <c r="J535" s="21" t="n"/>
      <c r="K535" s="21" t="n"/>
      <c r="L535" s="21" t="n"/>
      <c r="M535" s="21" t="n"/>
      <c r="N535" s="21" t="n"/>
      <c r="O535" s="21" t="n"/>
      <c r="P535" s="13" t="n"/>
    </row>
    <row r="536">
      <c r="D536" s="5" t="n">
        <v>397</v>
      </c>
      <c r="E536" s="5" t="n">
        <v>397</v>
      </c>
      <c r="F536" s="5" t="inlineStr">
        <is>
          <t>غرفة المضخة تركيب مخرج انارة</t>
        </is>
      </c>
      <c r="G536" s="5" t="inlineStr">
        <is>
          <t>أعمال كهرباء 57</t>
        </is>
      </c>
      <c r="H536" s="5" t="inlineStr">
        <is>
          <t>مخرج انارة بأسلاك 3×3 مم2 نحاس</t>
        </is>
      </c>
      <c r="I536" s="11" t="inlineStr">
        <is>
          <t>لا</t>
        </is>
      </c>
      <c r="J536" s="11" t="n"/>
      <c r="K536" s="11" t="inlineStr">
        <is>
          <t>لا يوجد مرفقات</t>
        </is>
      </c>
      <c r="L536" s="11" t="inlineStr">
        <is>
          <t>عدد</t>
        </is>
      </c>
      <c r="M536" s="11" t="n">
        <v>5</v>
      </c>
      <c r="N536" s="22" t="n">
        <v>70</v>
      </c>
      <c r="O536" s="25">
        <f>N536*M536</f>
        <v/>
      </c>
      <c r="P536" s="23" t="n">
        <v>350</v>
      </c>
    </row>
    <row r="537">
      <c r="D537" s="5" t="n">
        <v>398</v>
      </c>
      <c r="E537" s="5" t="n">
        <v>398</v>
      </c>
      <c r="F537" s="5" t="inlineStr">
        <is>
          <t>غرفة المضخة تركيب كشاف ليد بانل</t>
        </is>
      </c>
      <c r="G537" s="5" t="inlineStr">
        <is>
          <t>أعمال كهرباء 58</t>
        </is>
      </c>
      <c r="H537" s="5" t="inlineStr">
        <is>
          <t>كشاف ليد بانل 30*120سم - 40 وات 220و فولت و 60 هرتز للتركيب بارز بالسقف او الحائط وغطاء بريزماتيك وبدرجة حرارة لون لاتقل عن 4000 كلفن وبدرجة حماية IP=54</t>
        </is>
      </c>
      <c r="I537" s="11" t="inlineStr">
        <is>
          <t>نعم</t>
        </is>
      </c>
      <c r="J537" s="11" t="n">
        <v>2087</v>
      </c>
      <c r="K537" s="11" t="inlineStr">
        <is>
          <t>لا يوجد مرفقات</t>
        </is>
      </c>
      <c r="L537" s="11" t="inlineStr">
        <is>
          <t>عدد</t>
        </is>
      </c>
      <c r="M537" s="11" t="n">
        <v>4</v>
      </c>
      <c r="N537" s="22" t="n">
        <v>105</v>
      </c>
      <c r="O537" s="25">
        <f>N537*M537</f>
        <v/>
      </c>
      <c r="P537" s="23" t="n">
        <v>420</v>
      </c>
    </row>
    <row r="538" ht="69.59999999999999" customHeight="1">
      <c r="D538" s="5" t="n">
        <v>399</v>
      </c>
      <c r="E538" s="5" t="n">
        <v>399</v>
      </c>
      <c r="F538" s="5" t="inlineStr">
        <is>
          <t>سكن العمال تركيب أنظمة اللوحات الكهربائية</t>
        </is>
      </c>
      <c r="G538" s="5" t="inlineStr">
        <is>
          <t>أعمال كهرباء 59</t>
        </is>
      </c>
      <c r="H538" s="5" t="inlineStr">
        <is>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t>
        </is>
      </c>
      <c r="I538" s="11" t="inlineStr">
        <is>
          <t>نعم</t>
        </is>
      </c>
      <c r="J538" s="11" t="n">
        <v>2088</v>
      </c>
      <c r="K538" s="11" t="inlineStr">
        <is>
          <t>لا يوجد مرفقات</t>
        </is>
      </c>
      <c r="L538" s="11" t="inlineStr">
        <is>
          <t>عدد</t>
        </is>
      </c>
      <c r="M538" s="11" t="n">
        <v>2</v>
      </c>
      <c r="N538" s="22" t="n">
        <v>17500</v>
      </c>
      <c r="O538" s="25">
        <f>N538*M538</f>
        <v/>
      </c>
      <c r="P538" s="23" t="n">
        <v>35000</v>
      </c>
    </row>
    <row r="539" ht="69.59999999999999" customHeight="1">
      <c r="D539" s="5" t="n">
        <v>400</v>
      </c>
      <c r="E539" s="5" t="n">
        <v>400</v>
      </c>
      <c r="F539" s="5" t="inlineStr">
        <is>
          <t>سكن العمال تركيب أنظمة التيار الخفيف</t>
        </is>
      </c>
      <c r="G539" s="5" t="inlineStr">
        <is>
          <t>أعمال كهرباء 60</t>
        </is>
      </c>
      <c r="H539" s="5" t="inlineStr">
        <is>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is>
      </c>
      <c r="I539" s="11" t="inlineStr">
        <is>
          <t>نعم</t>
        </is>
      </c>
      <c r="J539" s="11" t="n">
        <v>2088</v>
      </c>
      <c r="K539" s="11" t="inlineStr">
        <is>
          <t>لا يوجد مرفقات</t>
        </is>
      </c>
      <c r="L539" s="11" t="inlineStr">
        <is>
          <t>عدد</t>
        </is>
      </c>
      <c r="M539" s="11" t="n">
        <v>2</v>
      </c>
      <c r="N539" s="22" t="n">
        <v>17500</v>
      </c>
      <c r="O539" s="25">
        <f>N539*M539</f>
        <v/>
      </c>
      <c r="P539" s="23" t="n">
        <v>35000</v>
      </c>
    </row>
    <row r="540">
      <c r="D540" s="5" t="n">
        <v>401</v>
      </c>
      <c r="E540" s="5" t="n">
        <v>401</v>
      </c>
      <c r="F540" s="5" t="inlineStr">
        <is>
          <t>سكن العمال لوحات توزيع</t>
        </is>
      </c>
      <c r="G540" s="5" t="inlineStr">
        <is>
          <t>أعمال كهرباء 61</t>
        </is>
      </c>
      <c r="H540" s="5" t="inlineStr">
        <is>
          <t>DB-RE</t>
        </is>
      </c>
      <c r="I540" s="11" t="inlineStr">
        <is>
          <t>نعم</t>
        </is>
      </c>
      <c r="J540" s="11" t="n">
        <v>2096</v>
      </c>
      <c r="K540" s="11" t="inlineStr">
        <is>
          <t>لا يوجد مرفقات</t>
        </is>
      </c>
      <c r="L540" s="11" t="inlineStr">
        <is>
          <t>عدد</t>
        </is>
      </c>
      <c r="M540" s="11" t="n">
        <v>1</v>
      </c>
      <c r="N540" s="22" t="n">
        <v>8400</v>
      </c>
      <c r="O540" s="25">
        <f>N540*M540</f>
        <v/>
      </c>
      <c r="P540" s="23" t="n">
        <v>8400</v>
      </c>
    </row>
    <row r="541" ht="34.8" customHeight="1">
      <c r="D541" s="5" t="n">
        <v>402</v>
      </c>
      <c r="E541" s="5" t="n">
        <v>402</v>
      </c>
      <c r="F541" s="5" t="inlineStr">
        <is>
          <t>سكن العمال تركيب كابلات الجهد المنخفض 35</t>
        </is>
      </c>
      <c r="G541" s="5" t="inlineStr">
        <is>
          <t>أعمال كهرباء 62</t>
        </is>
      </c>
      <c r="H541" s="5" t="inlineStr">
        <is>
          <t>كابل( 4*95)+1*50 مم2 نحاس</t>
        </is>
      </c>
      <c r="I541" s="11" t="inlineStr">
        <is>
          <t>نعم</t>
        </is>
      </c>
      <c r="J541" s="11" t="n">
        <v>2083</v>
      </c>
      <c r="K541" s="11" t="inlineStr">
        <is>
          <t>لا يوجد مرفقات</t>
        </is>
      </c>
      <c r="L541" s="11" t="inlineStr">
        <is>
          <t>مط</t>
        </is>
      </c>
      <c r="M541" s="11" t="n">
        <v>200</v>
      </c>
      <c r="N541" s="22" t="n">
        <v>266</v>
      </c>
      <c r="O541" s="25">
        <f>N541*M541</f>
        <v/>
      </c>
      <c r="P541" s="23" t="n">
        <v>53200</v>
      </c>
    </row>
    <row r="542">
      <c r="D542" s="4" t="inlineStr">
        <is>
          <t>لرقم التسلسلي</t>
        </is>
      </c>
      <c r="E542" s="4" t="inlineStr">
        <is>
          <t>الفئة</t>
        </is>
      </c>
      <c r="F542" s="4" t="inlineStr">
        <is>
          <t>البند</t>
        </is>
      </c>
      <c r="G542" s="4" t="inlineStr">
        <is>
          <t>وصف البند</t>
        </is>
      </c>
      <c r="H542" s="4" t="inlineStr">
        <is>
          <t>المواصفات</t>
        </is>
      </c>
      <c r="I542" s="9" t="inlineStr">
        <is>
          <t>منتج من القائمة الإلزامية</t>
        </is>
      </c>
      <c r="J542" s="9" t="inlineStr">
        <is>
          <t>الرمز الإنشائي</t>
        </is>
      </c>
      <c r="K542" s="9" t="inlineStr">
        <is>
          <t>مرفقات</t>
        </is>
      </c>
      <c r="L542" s="9" t="inlineStr">
        <is>
          <t>وحدة القياس</t>
        </is>
      </c>
      <c r="M542" s="9" t="inlineStr">
        <is>
          <t>الكمية</t>
        </is>
      </c>
      <c r="N542" s="20" t="inlineStr">
        <is>
          <t>سعر الوحدة</t>
        </is>
      </c>
      <c r="O542" s="20" t="inlineStr">
        <is>
          <t>الإجمالي</t>
        </is>
      </c>
      <c r="P542" s="13" t="n"/>
    </row>
    <row r="543">
      <c r="D543" s="21" t="n"/>
      <c r="E543" s="21" t="n"/>
      <c r="F543" s="21" t="n"/>
      <c r="G543" s="21" t="n"/>
      <c r="H543" s="21" t="n"/>
      <c r="I543" s="21" t="n"/>
      <c r="J543" s="21" t="n"/>
      <c r="K543" s="21" t="n"/>
      <c r="L543" s="21" t="n"/>
      <c r="M543" s="21" t="n"/>
      <c r="N543" s="21" t="n"/>
      <c r="O543" s="21" t="n"/>
      <c r="P543" s="13" t="n"/>
    </row>
    <row r="544" ht="34.8" customHeight="1">
      <c r="D544" s="5" t="n">
        <v>403</v>
      </c>
      <c r="E544" s="5" t="n">
        <v>403</v>
      </c>
      <c r="F544" s="5" t="inlineStr">
        <is>
          <t>سكن العمال تركيب مقبس احادي الطور 16 امبير</t>
        </is>
      </c>
      <c r="G544" s="5" t="inlineStr">
        <is>
          <t>أعمال كهرباء 63</t>
        </is>
      </c>
      <c r="H544" s="5" t="inlineStr">
        <is>
          <t>مقبس احادي الطور(1P+N+E) احادي 16 امبير بأسلاك 3*4 مم2 نحاس</t>
        </is>
      </c>
      <c r="I544" s="11" t="inlineStr">
        <is>
          <t>نعم</t>
        </is>
      </c>
      <c r="J544" s="11" t="n">
        <v>2088</v>
      </c>
      <c r="K544" s="11" t="inlineStr">
        <is>
          <t>لا يوجد مرفقات</t>
        </is>
      </c>
      <c r="L544" s="11" t="inlineStr">
        <is>
          <t>عدد</t>
        </is>
      </c>
      <c r="M544" s="11" t="n">
        <v>21</v>
      </c>
      <c r="N544" s="22" t="n">
        <v>140</v>
      </c>
      <c r="O544" s="25">
        <f>N544*M544</f>
        <v/>
      </c>
      <c r="P544" s="23" t="n">
        <v>2940</v>
      </c>
    </row>
    <row r="545">
      <c r="D545" s="5" t="n">
        <v>404</v>
      </c>
      <c r="E545" s="5" t="n">
        <v>404</v>
      </c>
      <c r="F545" s="5" t="inlineStr">
        <is>
          <t>سكن العمال مقيس احادى الطور 16</t>
        </is>
      </c>
      <c r="G545" s="5" t="inlineStr">
        <is>
          <t>أعمال كهرباء 64</t>
        </is>
      </c>
      <c r="H545" s="5" t="inlineStr">
        <is>
          <t>مقبس احادي الطور(1P+N+E) ثنائي 16 امبير بأسلاك 3*4 مم2 نحاس</t>
        </is>
      </c>
      <c r="I545" s="11" t="inlineStr">
        <is>
          <t>نعم</t>
        </is>
      </c>
      <c r="J545" s="11" t="n">
        <v>2088</v>
      </c>
      <c r="K545" s="11" t="inlineStr">
        <is>
          <t>لا يوجد مرفقات</t>
        </is>
      </c>
      <c r="L545" s="11" t="inlineStr">
        <is>
          <t>عدد</t>
        </is>
      </c>
      <c r="M545" s="11" t="n">
        <v>12</v>
      </c>
      <c r="N545" s="22" t="n">
        <v>140</v>
      </c>
      <c r="O545" s="25">
        <f>N545*M545</f>
        <v/>
      </c>
      <c r="P545" s="23" t="n">
        <v>1680</v>
      </c>
    </row>
    <row r="546">
      <c r="D546" s="5" t="n">
        <v>405</v>
      </c>
      <c r="E546" s="5" t="n">
        <v>405</v>
      </c>
      <c r="F546" s="5" t="inlineStr">
        <is>
          <t>سكن العمال مقيس احادى الطور 32 امبير</t>
        </is>
      </c>
      <c r="G546" s="5" t="inlineStr">
        <is>
          <t>أعمال كهرباء 65</t>
        </is>
      </c>
      <c r="H546" s="5" t="inlineStr">
        <is>
          <t>مقبس احادي الطور(1P+N+E) احادي 32 امبير بأسلاك 3*6 مم2 نحاس</t>
        </is>
      </c>
      <c r="I546" s="11" t="inlineStr">
        <is>
          <t>نعم</t>
        </is>
      </c>
      <c r="J546" s="11" t="n">
        <v>2088</v>
      </c>
      <c r="K546" s="11" t="inlineStr">
        <is>
          <t>لا يوجد مرفقات</t>
        </is>
      </c>
      <c r="L546" s="11" t="inlineStr">
        <is>
          <t>عدد</t>
        </is>
      </c>
      <c r="M546" s="11" t="n">
        <v>1</v>
      </c>
      <c r="N546" s="22" t="n">
        <v>140</v>
      </c>
      <c r="O546" s="25">
        <f>N546*M546</f>
        <v/>
      </c>
      <c r="P546" s="23" t="n">
        <v>140</v>
      </c>
    </row>
    <row r="547" ht="34.8" customHeight="1">
      <c r="D547" s="5" t="n">
        <v>406</v>
      </c>
      <c r="E547" s="5" t="n">
        <v>406</v>
      </c>
      <c r="F547" s="5" t="inlineStr">
        <is>
          <t>سكن العمال مقيس احادى الطور 20 امبير مقاوم للماء بدرجة حماية</t>
        </is>
      </c>
      <c r="G547" s="5" t="inlineStr">
        <is>
          <t>أعمال كهرباء 66</t>
        </is>
      </c>
      <c r="H547" s="5" t="inlineStr">
        <is>
          <t>مقبس احادي الطور(1P+N+E) احادي 20 امبير من النوع المقاوم للماء WATER PROOF بدرجة حماية IP=54 (قوى) بأسلاك 3*4 مم2 نحاس</t>
        </is>
      </c>
      <c r="I547" s="11" t="inlineStr">
        <is>
          <t>نعم</t>
        </is>
      </c>
      <c r="J547" s="11" t="n">
        <v>2088</v>
      </c>
      <c r="K547" s="11" t="inlineStr">
        <is>
          <t>لا يوجد مرفقات</t>
        </is>
      </c>
      <c r="L547" s="11" t="inlineStr">
        <is>
          <t>عدد</t>
        </is>
      </c>
      <c r="M547" s="11" t="n">
        <v>4</v>
      </c>
      <c r="N547" s="22" t="n">
        <v>140</v>
      </c>
      <c r="O547" s="25">
        <f>N547*M547</f>
        <v/>
      </c>
      <c r="P547" s="23" t="n">
        <v>560</v>
      </c>
    </row>
    <row r="548">
      <c r="D548" s="5" t="n">
        <v>407</v>
      </c>
      <c r="E548" s="5" t="n">
        <v>407</v>
      </c>
      <c r="F548" s="5" t="inlineStr">
        <is>
          <t>سكن العمال مفتاح الفصل والتشغيل للسخانات</t>
        </is>
      </c>
      <c r="G548" s="5" t="inlineStr">
        <is>
          <t>أعمال كهرباء 67</t>
        </is>
      </c>
      <c r="H548" s="5" t="inlineStr">
        <is>
          <t>مفتاح فصل وتشغيل (1P+N) 20أمبير - 230 فولت من النوع المضاد للمياه IP54 لزوم السخانات من المفتاح الى اللوحة ومن المفتاح الى المروحة والمفتاح مزود بلمبة بيان</t>
        </is>
      </c>
      <c r="I548" s="11" t="inlineStr">
        <is>
          <t>لا</t>
        </is>
      </c>
      <c r="J548" s="11" t="n"/>
      <c r="K548" s="11" t="inlineStr">
        <is>
          <t>لا يوجد مرفقات</t>
        </is>
      </c>
      <c r="L548" s="11" t="inlineStr">
        <is>
          <t>عدد</t>
        </is>
      </c>
      <c r="M548" s="11" t="n">
        <v>2</v>
      </c>
      <c r="N548" s="22" t="n">
        <v>140</v>
      </c>
      <c r="O548" s="25">
        <f>N548*M548</f>
        <v/>
      </c>
      <c r="P548" s="23" t="n">
        <v>280</v>
      </c>
    </row>
    <row r="549">
      <c r="D549" s="5" t="n">
        <v>408</v>
      </c>
      <c r="E549" s="5" t="n">
        <v>408</v>
      </c>
      <c r="F549" s="5" t="inlineStr">
        <is>
          <t>سكن العمال مفتاح الفصل والتشغيل للمغسلة</t>
        </is>
      </c>
      <c r="G549" s="5" t="inlineStr">
        <is>
          <t>أعمال كهرباء 68</t>
        </is>
      </c>
      <c r="H549" s="5" t="inlineStr">
        <is>
          <t>مفتاح فصل وتشغيل (1P+E) 32أمبير - 230 فولت باسلاك 6*3 مم2 نحاس لزوم المغسلة من المفتاح الى اللوحة ومن المفتاح الى المروحة والمفتاح مزود بلمبة بيان</t>
        </is>
      </c>
      <c r="I549" s="11" t="inlineStr">
        <is>
          <t>لا</t>
        </is>
      </c>
      <c r="J549" s="11" t="n"/>
      <c r="K549" s="11" t="inlineStr">
        <is>
          <t>لا يوجد مرفقات</t>
        </is>
      </c>
      <c r="L549" s="11" t="inlineStr">
        <is>
          <t>عدد</t>
        </is>
      </c>
      <c r="M549" s="11" t="n">
        <v>4</v>
      </c>
      <c r="N549" s="22" t="n">
        <v>140</v>
      </c>
      <c r="O549" s="25">
        <f>N549*M549</f>
        <v/>
      </c>
      <c r="P549" s="23" t="n">
        <v>560</v>
      </c>
    </row>
    <row r="550">
      <c r="D550" s="4" t="inlineStr">
        <is>
          <t>الرقم التسلسلي</t>
        </is>
      </c>
      <c r="E550" s="4" t="inlineStr">
        <is>
          <t>الفئة</t>
        </is>
      </c>
      <c r="F550" s="4" t="inlineStr">
        <is>
          <t>البند</t>
        </is>
      </c>
      <c r="G550" s="4" t="inlineStr">
        <is>
          <t>وصف البند</t>
        </is>
      </c>
      <c r="H550" s="4" t="inlineStr">
        <is>
          <t>المواصفات</t>
        </is>
      </c>
      <c r="I550" s="9" t="inlineStr">
        <is>
          <t>منتج من القائمة الإلزامية</t>
        </is>
      </c>
      <c r="J550" s="9" t="inlineStr">
        <is>
          <t>الرمز الإنشائي</t>
        </is>
      </c>
      <c r="K550" s="9" t="inlineStr">
        <is>
          <t>مرفقات</t>
        </is>
      </c>
      <c r="L550" s="9" t="inlineStr">
        <is>
          <t>وحدة القياس</t>
        </is>
      </c>
      <c r="M550" s="9" t="inlineStr">
        <is>
          <t>الكمية</t>
        </is>
      </c>
      <c r="N550" s="20" t="inlineStr">
        <is>
          <t>سعر الوحدة</t>
        </is>
      </c>
      <c r="O550" s="20" t="inlineStr">
        <is>
          <t>الإجمالي</t>
        </is>
      </c>
      <c r="P550" s="13" t="n"/>
    </row>
    <row r="551">
      <c r="D551" s="21" t="n"/>
      <c r="E551" s="21" t="n"/>
      <c r="F551" s="21" t="n"/>
      <c r="G551" s="21" t="n"/>
      <c r="H551" s="21" t="n"/>
      <c r="I551" s="21" t="n"/>
      <c r="J551" s="21" t="n"/>
      <c r="K551" s="21" t="n"/>
      <c r="L551" s="21" t="n"/>
      <c r="M551" s="21" t="n"/>
      <c r="N551" s="21" t="n"/>
      <c r="O551" s="21" t="n"/>
      <c r="P551" s="13" t="n"/>
    </row>
    <row r="552">
      <c r="D552" s="5" t="n">
        <v>409</v>
      </c>
      <c r="E552" s="5" t="n">
        <v>409</v>
      </c>
      <c r="F552" s="5" t="inlineStr">
        <is>
          <t>سكن العمال مفتاح الفصل والتشغيل للتكيفات</t>
        </is>
      </c>
      <c r="G552" s="5" t="inlineStr">
        <is>
          <t>أعمال كهرباء 69</t>
        </is>
      </c>
      <c r="H552" s="5" t="inlineStr">
        <is>
          <t>مفتاح فصل وتشغيل (1P+E) 40أمبير - 230 فولت باسلاك 10*3 مم2 نحاس لزوم التكييفات من المفتاح الى اللوحة ومن المفتاح الى المروحة والمفتاح مزود بلمبة بيان</t>
        </is>
      </c>
      <c r="I552" s="11" t="inlineStr">
        <is>
          <t>لا</t>
        </is>
      </c>
      <c r="J552" s="11" t="n"/>
      <c r="K552" s="11" t="inlineStr">
        <is>
          <t>لا يوجد مرفقات</t>
        </is>
      </c>
      <c r="L552" s="11" t="inlineStr">
        <is>
          <t>عدد</t>
        </is>
      </c>
      <c r="M552" s="11" t="n">
        <v>7</v>
      </c>
      <c r="N552" s="22" t="n">
        <v>140</v>
      </c>
      <c r="O552" s="25">
        <f>N552*M552</f>
        <v/>
      </c>
      <c r="P552" s="23" t="n">
        <v>980</v>
      </c>
    </row>
    <row r="553">
      <c r="D553" s="5" t="n">
        <v>410</v>
      </c>
      <c r="E553" s="5" t="n">
        <v>410</v>
      </c>
      <c r="F553" s="5" t="inlineStr">
        <is>
          <t>سكن العمال مفتاح التحكم اتجاه واحد 1 لقمة</t>
        </is>
      </c>
      <c r="G553" s="5" t="inlineStr">
        <is>
          <t>أعمال كهرباء 70</t>
        </is>
      </c>
      <c r="H553" s="5" t="inlineStr">
        <is>
          <t>مفتاح اتجاة واحد بعدد 1 لقمة 10 أمبير ,230 فولت</t>
        </is>
      </c>
      <c r="I553" s="11" t="inlineStr">
        <is>
          <t>لا</t>
        </is>
      </c>
      <c r="J553" s="11" t="n"/>
      <c r="K553" s="11" t="inlineStr">
        <is>
          <t>لا يوجد مرفقات</t>
        </is>
      </c>
      <c r="L553" s="11" t="inlineStr">
        <is>
          <t>عدد</t>
        </is>
      </c>
      <c r="M553" s="11" t="n">
        <v>1</v>
      </c>
      <c r="N553" s="22" t="n">
        <v>140</v>
      </c>
      <c r="O553" s="25">
        <f>N553*M553</f>
        <v/>
      </c>
      <c r="P553" s="23" t="n">
        <v>140</v>
      </c>
    </row>
    <row r="554">
      <c r="D554" s="5" t="n">
        <v>411</v>
      </c>
      <c r="E554" s="5" t="n">
        <v>411</v>
      </c>
      <c r="F554" s="5" t="inlineStr">
        <is>
          <t>سكن العمال مفتاح التحكم اتجاه واحد 2 لقمة</t>
        </is>
      </c>
      <c r="G554" s="5" t="inlineStr">
        <is>
          <t>أعمال كهرباء 71</t>
        </is>
      </c>
      <c r="H554" s="5" t="inlineStr">
        <is>
          <t>مفتاح اتجاة واحد بعدد 2 لقمة 10 أمبير ,230 فولت</t>
        </is>
      </c>
      <c r="I554" s="11" t="inlineStr">
        <is>
          <t>لا</t>
        </is>
      </c>
      <c r="J554" s="11" t="n"/>
      <c r="K554" s="11" t="inlineStr">
        <is>
          <t>لا يوجد مرفقات</t>
        </is>
      </c>
      <c r="L554" s="11" t="inlineStr">
        <is>
          <t>عدد</t>
        </is>
      </c>
      <c r="M554" s="11" t="n">
        <v>9</v>
      </c>
      <c r="N554" s="22" t="n">
        <v>140</v>
      </c>
      <c r="O554" s="25">
        <f>N554*M554</f>
        <v/>
      </c>
      <c r="P554" s="23" t="n">
        <v>1260</v>
      </c>
    </row>
    <row r="555" ht="34.8" customHeight="1">
      <c r="D555" s="5" t="n">
        <v>412</v>
      </c>
      <c r="E555" s="5" t="n">
        <v>412</v>
      </c>
      <c r="F555" s="5" t="inlineStr">
        <is>
          <t>سكن العمال مفتاح التحكم اتجاه واحد 2 لقمة مقاوم للعوامل الجوية</t>
        </is>
      </c>
      <c r="G555" s="5" t="inlineStr">
        <is>
          <t>أعمال كهرباء 72</t>
        </is>
      </c>
      <c r="H555" s="5" t="inlineStr">
        <is>
          <t>مفتاح اتجاة واحد بعدد 2 لقمة 10 أمبير ,230 فولت من النوع المقاوم للعوامل الجوية IP=54 WATER PROOF</t>
        </is>
      </c>
      <c r="I555" s="11" t="inlineStr">
        <is>
          <t>لا</t>
        </is>
      </c>
      <c r="J555" s="11" t="n"/>
      <c r="K555" s="11" t="inlineStr">
        <is>
          <t>لا يوجد مرفقات</t>
        </is>
      </c>
      <c r="L555" s="11" t="inlineStr">
        <is>
          <t>عدد</t>
        </is>
      </c>
      <c r="M555" s="11" t="n">
        <v>4</v>
      </c>
      <c r="N555" s="22" t="n">
        <v>140</v>
      </c>
      <c r="O555" s="25">
        <f>N555*M555</f>
        <v/>
      </c>
      <c r="P555" s="23" t="n">
        <v>560</v>
      </c>
    </row>
    <row r="556">
      <c r="D556" s="5" t="n">
        <v>413</v>
      </c>
      <c r="E556" s="5" t="n">
        <v>413</v>
      </c>
      <c r="F556" s="5" t="inlineStr">
        <is>
          <t>سكن العمال تركيب مخرج الانارة</t>
        </is>
      </c>
      <c r="G556" s="5" t="inlineStr">
        <is>
          <t>أعمال كهرباء 73</t>
        </is>
      </c>
      <c r="H556" s="5" t="inlineStr">
        <is>
          <t>مخرج انارة بأسلاك 3×3 مم2 نحاس</t>
        </is>
      </c>
      <c r="I556" s="11" t="inlineStr">
        <is>
          <t>لا</t>
        </is>
      </c>
      <c r="J556" s="11" t="n"/>
      <c r="K556" s="11" t="inlineStr">
        <is>
          <t>لا يوجد مرفقات</t>
        </is>
      </c>
      <c r="L556" s="11" t="inlineStr">
        <is>
          <t>عدد</t>
        </is>
      </c>
      <c r="M556" s="11" t="n">
        <v>201</v>
      </c>
      <c r="N556" s="22" t="n">
        <v>70</v>
      </c>
      <c r="O556" s="25">
        <f>N556*M556</f>
        <v/>
      </c>
      <c r="P556" s="23" t="n">
        <v>14070</v>
      </c>
    </row>
    <row r="557">
      <c r="D557" s="5" t="n">
        <v>414</v>
      </c>
      <c r="E557" s="5" t="n">
        <v>414</v>
      </c>
      <c r="F557" s="5" t="inlineStr">
        <is>
          <t>سكن العمال وحدة انارة سبوت دائرى 16 واط</t>
        </is>
      </c>
      <c r="G557" s="5" t="inlineStr">
        <is>
          <t>أعمال كهرباء 74</t>
        </is>
      </c>
      <c r="H557" s="5" t="inlineStr">
        <is>
          <t>وحدة انارة عبارة عن سبوت دائرى LED SPOT بارز قطر 20 سم وبقدرة 16 وات ليد بدرجة حرارة لون 3000 كلفن و230 فولت و 60 هرتز كاملة بكافة مايلزم</t>
        </is>
      </c>
      <c r="I557" s="11" t="inlineStr">
        <is>
          <t>نعم</t>
        </is>
      </c>
      <c r="J557" s="11" t="n">
        <v>2087</v>
      </c>
      <c r="K557" s="11" t="inlineStr">
        <is>
          <t>لا يوجد مرفقات</t>
        </is>
      </c>
      <c r="L557" s="11" t="inlineStr">
        <is>
          <t>عدد</t>
        </is>
      </c>
      <c r="M557" s="11" t="n">
        <v>34</v>
      </c>
      <c r="N557" s="22" t="n">
        <v>70</v>
      </c>
      <c r="O557" s="25">
        <f>N557*M557</f>
        <v/>
      </c>
      <c r="P557" s="23" t="n">
        <v>2380</v>
      </c>
    </row>
    <row r="558">
      <c r="D558" s="4" t="inlineStr">
        <is>
          <t>الرقم التسلسلي</t>
        </is>
      </c>
      <c r="E558" s="4" t="inlineStr">
        <is>
          <t>الفئة</t>
        </is>
      </c>
      <c r="F558" s="4" t="inlineStr">
        <is>
          <t>البند</t>
        </is>
      </c>
      <c r="G558" s="4" t="inlineStr">
        <is>
          <t>وصف البند</t>
        </is>
      </c>
      <c r="H558" s="4" t="inlineStr">
        <is>
          <t>المواصفات</t>
        </is>
      </c>
      <c r="I558" s="9" t="inlineStr">
        <is>
          <t>منتج من القائمة الإلزامية</t>
        </is>
      </c>
      <c r="J558" s="9" t="inlineStr">
        <is>
          <t>الرمز الإنشائي</t>
        </is>
      </c>
      <c r="K558" s="9" t="inlineStr">
        <is>
          <t>مرفقات</t>
        </is>
      </c>
      <c r="L558" s="9" t="inlineStr">
        <is>
          <t>وحدة القياس</t>
        </is>
      </c>
      <c r="M558" s="9" t="inlineStr">
        <is>
          <t>الكمية</t>
        </is>
      </c>
      <c r="N558" s="20" t="inlineStr">
        <is>
          <t>سعر الوحدة</t>
        </is>
      </c>
      <c r="O558" s="20" t="inlineStr">
        <is>
          <t>الإجمالي</t>
        </is>
      </c>
      <c r="P558" s="13" t="n"/>
    </row>
    <row r="559">
      <c r="D559" s="21" t="n"/>
      <c r="E559" s="21" t="n"/>
      <c r="F559" s="21" t="n"/>
      <c r="G559" s="21" t="n"/>
      <c r="H559" s="21" t="n"/>
      <c r="I559" s="21" t="n"/>
      <c r="J559" s="21" t="n"/>
      <c r="K559" s="21" t="n"/>
      <c r="L559" s="21" t="n"/>
      <c r="M559" s="21" t="n"/>
      <c r="N559" s="21" t="n"/>
      <c r="O559" s="21" t="n"/>
      <c r="P559" s="13" t="n"/>
    </row>
    <row r="560">
      <c r="D560" s="5" t="n">
        <v>415</v>
      </c>
      <c r="E560" s="5" t="n">
        <v>415</v>
      </c>
      <c r="F560" s="5" t="inlineStr">
        <is>
          <t>سكن العمال وحدة انارة سبوت دائرى 12 واط</t>
        </is>
      </c>
      <c r="G560" s="5" t="inlineStr">
        <is>
          <t>أعمال كهرباء 75</t>
        </is>
      </c>
      <c r="H560" s="5" t="inlineStr">
        <is>
          <t>وحدة انارة عبارة عن سبوت دائرى LED SPOT بارز قطر 16 سم وبقدرة 12 وات ليد بدرجة حرارة لون 3000 كلفن و230 فولت و 60 هرتز كاملة بكافة مايلزم</t>
        </is>
      </c>
      <c r="I560" s="11" t="inlineStr">
        <is>
          <t>نعم</t>
        </is>
      </c>
      <c r="J560" s="11" t="n">
        <v>2087</v>
      </c>
      <c r="K560" s="11" t="inlineStr">
        <is>
          <t>لا يوجد مرفقات</t>
        </is>
      </c>
      <c r="L560" s="11" t="inlineStr">
        <is>
          <t>عدد</t>
        </is>
      </c>
      <c r="M560" s="11" t="n">
        <v>10</v>
      </c>
      <c r="N560" s="22" t="n">
        <v>70</v>
      </c>
      <c r="O560" s="25">
        <f>N560*M560</f>
        <v/>
      </c>
      <c r="P560" s="23" t="n">
        <v>700</v>
      </c>
    </row>
    <row r="561">
      <c r="D561" s="5" t="n">
        <v>416</v>
      </c>
      <c r="E561" s="5" t="n">
        <v>416</v>
      </c>
      <c r="F561" s="5" t="inlineStr">
        <is>
          <t>سكن العمال وحدة انارة سبوت دائرى 7 واط</t>
        </is>
      </c>
      <c r="G561" s="5" t="inlineStr">
        <is>
          <t>أعمال كهرباء 76</t>
        </is>
      </c>
      <c r="H561" s="5" t="inlineStr">
        <is>
          <t>وحدة انارة عبارة عن سبوت دائرى LED SPOT بارز قطر 10 سم وبقدرة 7 وات ليد بدرجة حرارة لون 3000 كلفن و230 فولت و 60 هرتز كاملة بكافة مايلزم</t>
        </is>
      </c>
      <c r="I561" s="11" t="inlineStr">
        <is>
          <t>نعم</t>
        </is>
      </c>
      <c r="J561" s="11" t="n">
        <v>2087</v>
      </c>
      <c r="K561" s="11" t="inlineStr">
        <is>
          <t>لا يوجد مرفقات</t>
        </is>
      </c>
      <c r="L561" s="11" t="inlineStr">
        <is>
          <t>عدد</t>
        </is>
      </c>
      <c r="M561" s="11" t="n">
        <v>114</v>
      </c>
      <c r="N561" s="22" t="n">
        <v>70</v>
      </c>
      <c r="O561" s="25">
        <f>N561*M561</f>
        <v/>
      </c>
      <c r="P561" s="23" t="n">
        <v>7980</v>
      </c>
    </row>
    <row r="562" ht="34.8" customHeight="1">
      <c r="D562" s="5" t="n">
        <v>417</v>
      </c>
      <c r="E562" s="5" t="n">
        <v>417</v>
      </c>
      <c r="F562" s="5" t="inlineStr">
        <is>
          <t>سكن العمال وحدة انارة سبوت دائرى 7 واط من النوع المقاوم للعوامل الجويه</t>
        </is>
      </c>
      <c r="G562" s="5" t="inlineStr">
        <is>
          <t>أعمال كهرباء 77</t>
        </is>
      </c>
      <c r="H562" s="5" t="inlineStr">
        <is>
          <t>وحدة انارة عبارة عن سبوت مربع LED SPOT غاطس وبقدرة 7 وات ليد بدرجة حرارة لون 3000 كلفن و230 فولت و 60 هرتز كاملة بكافة مايلزم بدرجة حماية IP54</t>
        </is>
      </c>
      <c r="I562" s="11" t="inlineStr">
        <is>
          <t>نعم</t>
        </is>
      </c>
      <c r="J562" s="11" t="n">
        <v>2087</v>
      </c>
      <c r="K562" s="11" t="inlineStr">
        <is>
          <t>لا يوجد مرفقات</t>
        </is>
      </c>
      <c r="L562" s="11" t="inlineStr">
        <is>
          <t>عدد</t>
        </is>
      </c>
      <c r="M562" s="11" t="n">
        <v>29</v>
      </c>
      <c r="N562" s="22" t="n">
        <v>70</v>
      </c>
      <c r="O562" s="25">
        <f>N562*M562</f>
        <v/>
      </c>
      <c r="P562" s="23" t="n">
        <v>2030</v>
      </c>
    </row>
    <row r="563" ht="34.8" customHeight="1">
      <c r="D563" s="5" t="n">
        <v>418</v>
      </c>
      <c r="E563" s="5" t="n">
        <v>418</v>
      </c>
      <c r="F563" s="5" t="inlineStr">
        <is>
          <t>سكن العمال وحدة انارة سبوت دائرى 5 واط من النوع المقاوم للعوامل الجويه</t>
        </is>
      </c>
      <c r="G563" s="5" t="inlineStr">
        <is>
          <t>أعمال كهرباء 78</t>
        </is>
      </c>
      <c r="H563" s="5" t="inlineStr">
        <is>
          <t>وحدة انارة عبارة عن سبوت مربع LED SPOT غاطس وبقدرة 5 وات ليد بدرجة حرارة لون 3000 كلفن و230 فولت و 60 هرتز كاملة بكافة مايلزم بدرجة حماية IP54</t>
        </is>
      </c>
      <c r="I563" s="11" t="inlineStr">
        <is>
          <t>نعم</t>
        </is>
      </c>
      <c r="J563" s="11" t="n">
        <v>2087</v>
      </c>
      <c r="K563" s="11" t="inlineStr">
        <is>
          <t>لا يوجد مرفقات</t>
        </is>
      </c>
      <c r="L563" s="11" t="inlineStr">
        <is>
          <t>عدد</t>
        </is>
      </c>
      <c r="M563" s="11" t="n">
        <v>4</v>
      </c>
      <c r="N563" s="22" t="n">
        <v>70</v>
      </c>
      <c r="O563" s="25">
        <f>N563*M563</f>
        <v/>
      </c>
      <c r="P563" s="23" t="n">
        <v>280</v>
      </c>
    </row>
    <row r="564">
      <c r="D564" s="5" t="n">
        <v>419</v>
      </c>
      <c r="E564" s="5" t="n">
        <v>419</v>
      </c>
      <c r="F564" s="5" t="inlineStr">
        <is>
          <t>سكن العمال وحدة انارة عين بقرة 12 واط</t>
        </is>
      </c>
      <c r="G564" s="5" t="inlineStr">
        <is>
          <t>أعمال كهرباء 79</t>
        </is>
      </c>
      <c r="H564" s="5" t="inlineStr">
        <is>
          <t>وحدة انارة عين بقرة LED وبقدرة 12 وات ليد بدرجة حرارة لون 3000 كلفن و230 فولت و 60 هرتز كاملة بكافة مايلزم بدرجة حماية IP54</t>
        </is>
      </c>
      <c r="I564" s="11" t="inlineStr">
        <is>
          <t>نعم</t>
        </is>
      </c>
      <c r="J564" s="11" t="n">
        <v>2087</v>
      </c>
      <c r="K564" s="11" t="inlineStr">
        <is>
          <t>لا يوجد مرفقات</t>
        </is>
      </c>
      <c r="L564" s="11" t="inlineStr">
        <is>
          <t>عدد</t>
        </is>
      </c>
      <c r="M564" s="11" t="n">
        <v>2</v>
      </c>
      <c r="N564" s="22" t="n">
        <v>70</v>
      </c>
      <c r="O564" s="25">
        <f>N564*M564</f>
        <v/>
      </c>
      <c r="P564" s="23" t="n">
        <v>140</v>
      </c>
    </row>
    <row r="565" ht="87" customHeight="1">
      <c r="D565" s="5" t="n">
        <v>420</v>
      </c>
      <c r="E565" s="5" t="n">
        <v>420</v>
      </c>
      <c r="F565" s="5" t="inlineStr">
        <is>
          <t>سكن العمال تركيب نظام الانذار المبكر للحريق</t>
        </is>
      </c>
      <c r="G565" s="5" t="inlineStr">
        <is>
          <t>أعمال كهرباء 80</t>
        </is>
      </c>
      <c r="H565" s="5" t="inlineStr">
        <is>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is>
      </c>
      <c r="I565" s="11" t="inlineStr">
        <is>
          <t>لا</t>
        </is>
      </c>
      <c r="J565" s="11" t="n"/>
      <c r="K565" s="11" t="inlineStr">
        <is>
          <t>لا يوجد مرفقات</t>
        </is>
      </c>
      <c r="L565" s="11" t="inlineStr">
        <is>
          <t>عدد</t>
        </is>
      </c>
      <c r="M565" s="11" t="n">
        <v>38</v>
      </c>
      <c r="N565" s="22" t="n">
        <v>210</v>
      </c>
      <c r="O565" s="25">
        <f>N565*M565</f>
        <v/>
      </c>
      <c r="P565" s="23" t="n">
        <v>7980</v>
      </c>
    </row>
    <row r="566">
      <c r="D566" s="4" t="inlineStr">
        <is>
          <t>الرقم التسلسلي</t>
        </is>
      </c>
      <c r="E566" s="4" t="inlineStr">
        <is>
          <t>الفئة</t>
        </is>
      </c>
      <c r="F566" s="4" t="inlineStr">
        <is>
          <t>البند</t>
        </is>
      </c>
      <c r="G566" s="4" t="inlineStr">
        <is>
          <t>وصف البند</t>
        </is>
      </c>
      <c r="H566" s="4" t="inlineStr">
        <is>
          <t>المواصفات</t>
        </is>
      </c>
      <c r="I566" s="9" t="inlineStr">
        <is>
          <t>منتج من القائمة الإلزامية</t>
        </is>
      </c>
      <c r="J566" s="9" t="inlineStr">
        <is>
          <t>الرمز الإنشائي</t>
        </is>
      </c>
      <c r="K566" s="9" t="inlineStr">
        <is>
          <t>مرفقات</t>
        </is>
      </c>
      <c r="L566" s="9" t="inlineStr">
        <is>
          <t>وحدة القياس</t>
        </is>
      </c>
      <c r="M566" s="9" t="inlineStr">
        <is>
          <t>الكمية</t>
        </is>
      </c>
      <c r="N566" s="20" t="inlineStr">
        <is>
          <t>سعر الوحدة</t>
        </is>
      </c>
      <c r="O566" s="20" t="inlineStr">
        <is>
          <t>الإجمالي</t>
        </is>
      </c>
      <c r="P566" s="13" t="n"/>
    </row>
    <row r="567">
      <c r="D567" s="21" t="n"/>
      <c r="E567" s="21" t="n"/>
      <c r="F567" s="21" t="n"/>
      <c r="G567" s="21" t="n"/>
      <c r="H567" s="21" t="n"/>
      <c r="I567" s="21" t="n"/>
      <c r="J567" s="21" t="n"/>
      <c r="K567" s="21" t="n"/>
      <c r="L567" s="21" t="n"/>
      <c r="M567" s="21" t="n"/>
      <c r="N567" s="21" t="n"/>
      <c r="O567" s="21" t="n"/>
      <c r="P567" s="13" t="n"/>
    </row>
    <row r="568">
      <c r="D568" s="5" t="n">
        <v>421</v>
      </c>
      <c r="E568" s="5" t="n">
        <v>421</v>
      </c>
      <c r="F568" s="5" t="inlineStr">
        <is>
          <t>سكن العمال تركيب كاشف دخان</t>
        </is>
      </c>
      <c r="G568" s="5" t="inlineStr">
        <is>
          <t>أعمال كهرباء 81</t>
        </is>
      </c>
      <c r="H568" s="5" t="inlineStr">
        <is>
          <t>كاشف انذار دخان من النوع المعنون</t>
        </is>
      </c>
      <c r="I568" s="11" t="inlineStr">
        <is>
          <t>لا</t>
        </is>
      </c>
      <c r="J568" s="11" t="n"/>
      <c r="K568" s="11" t="inlineStr">
        <is>
          <t>لا يوجد مرفقات</t>
        </is>
      </c>
      <c r="L568" s="11" t="inlineStr">
        <is>
          <t>عدد</t>
        </is>
      </c>
      <c r="M568" s="11" t="n">
        <v>22</v>
      </c>
      <c r="N568" s="22" t="n">
        <v>350</v>
      </c>
      <c r="O568" s="25">
        <f>N568*M568</f>
        <v/>
      </c>
      <c r="P568" s="23" t="n">
        <v>7700</v>
      </c>
    </row>
    <row r="569">
      <c r="D569" s="5" t="n">
        <v>422</v>
      </c>
      <c r="E569" s="5" t="n">
        <v>422</v>
      </c>
      <c r="F569" s="5" t="inlineStr">
        <is>
          <t>سكن العمال تركيب كاشف انذار حرارى</t>
        </is>
      </c>
      <c r="G569" s="5" t="inlineStr">
        <is>
          <t>أعمال كهرباء 82</t>
        </is>
      </c>
      <c r="H569" s="5" t="inlineStr">
        <is>
          <t>كاشف أنذار حراري من النوع المعنون</t>
        </is>
      </c>
      <c r="I569" s="11" t="inlineStr">
        <is>
          <t>لا</t>
        </is>
      </c>
      <c r="J569" s="11" t="n"/>
      <c r="K569" s="11" t="inlineStr">
        <is>
          <t>لا يوجد مرفقات</t>
        </is>
      </c>
      <c r="L569" s="11" t="inlineStr">
        <is>
          <t>عدد</t>
        </is>
      </c>
      <c r="M569" s="11" t="n">
        <v>4</v>
      </c>
      <c r="N569" s="22" t="n">
        <v>350</v>
      </c>
      <c r="O569" s="25">
        <f>N569*M569</f>
        <v/>
      </c>
      <c r="P569" s="23" t="n">
        <v>1400</v>
      </c>
    </row>
    <row r="570">
      <c r="D570" s="5" t="n">
        <v>423</v>
      </c>
      <c r="E570" s="5" t="n">
        <v>423</v>
      </c>
      <c r="F570" s="5" t="inlineStr">
        <is>
          <t>سكن العمال تركيب وحدة كاسر زجاجى</t>
        </is>
      </c>
      <c r="G570" s="5" t="inlineStr">
        <is>
          <t>أعمال كهرباء 83</t>
        </is>
      </c>
      <c r="H570" s="5" t="inlineStr">
        <is>
          <t>وحدة كاسر زجاجى</t>
        </is>
      </c>
      <c r="I570" s="11" t="inlineStr">
        <is>
          <t>لا</t>
        </is>
      </c>
      <c r="J570" s="11" t="n"/>
      <c r="K570" s="11" t="inlineStr">
        <is>
          <t>لا يوجد مرفقات</t>
        </is>
      </c>
      <c r="L570" s="11" t="inlineStr">
        <is>
          <t>عدد</t>
        </is>
      </c>
      <c r="M570" s="11" t="n">
        <v>4</v>
      </c>
      <c r="N570" s="22" t="n">
        <v>350</v>
      </c>
      <c r="O570" s="25">
        <f>N570*M570</f>
        <v/>
      </c>
      <c r="P570" s="23" t="n">
        <v>1400</v>
      </c>
    </row>
    <row r="571">
      <c r="D571" s="5" t="n">
        <v>424</v>
      </c>
      <c r="E571" s="5" t="n">
        <v>424</v>
      </c>
      <c r="F571" s="5" t="inlineStr">
        <is>
          <t>سكن العمال تركيب جرس انذار</t>
        </is>
      </c>
      <c r="G571" s="5" t="inlineStr">
        <is>
          <t>أعمال كهرباء 84</t>
        </is>
      </c>
      <c r="H571" s="5" t="inlineStr">
        <is>
          <t>جرس إنذار</t>
        </is>
      </c>
      <c r="I571" s="11" t="inlineStr">
        <is>
          <t>لا</t>
        </is>
      </c>
      <c r="J571" s="11" t="n"/>
      <c r="K571" s="11" t="inlineStr">
        <is>
          <t>لا يوجد مرفقات</t>
        </is>
      </c>
      <c r="L571" s="11" t="inlineStr">
        <is>
          <t>عدد</t>
        </is>
      </c>
      <c r="M571" s="11" t="n">
        <v>4</v>
      </c>
      <c r="N571" s="22" t="n">
        <v>350</v>
      </c>
      <c r="O571" s="25">
        <f>N571*M571</f>
        <v/>
      </c>
      <c r="P571" s="23" t="n">
        <v>1400</v>
      </c>
    </row>
    <row r="572">
      <c r="D572" s="5" t="n">
        <v>425</v>
      </c>
      <c r="E572" s="5" t="n">
        <v>425</v>
      </c>
      <c r="F572" s="5" t="inlineStr">
        <is>
          <t>سكن العمال تركيب وحدة تحكم</t>
        </is>
      </c>
      <c r="G572" s="5" t="inlineStr">
        <is>
          <t>أعمال كهرباء 85</t>
        </is>
      </c>
      <c r="H572" s="5" t="inlineStr">
        <is>
          <t>وحدة تحكم من النوع المعنون</t>
        </is>
      </c>
      <c r="I572" s="11" t="inlineStr">
        <is>
          <t>لا</t>
        </is>
      </c>
      <c r="J572" s="11" t="n"/>
      <c r="K572" s="11" t="inlineStr">
        <is>
          <t>لا يوجد مرفقات</t>
        </is>
      </c>
      <c r="L572" s="11" t="inlineStr">
        <is>
          <t>عدد</t>
        </is>
      </c>
      <c r="M572" s="11" t="n">
        <v>4</v>
      </c>
      <c r="N572" s="22" t="n">
        <v>350</v>
      </c>
      <c r="O572" s="25">
        <f>N572*M572</f>
        <v/>
      </c>
      <c r="P572" s="23" t="n">
        <v>1400</v>
      </c>
    </row>
    <row r="573">
      <c r="D573" s="5" t="n">
        <v>426</v>
      </c>
      <c r="E573" s="5" t="n">
        <v>426</v>
      </c>
      <c r="F573" s="5" t="inlineStr">
        <is>
          <t>سكن العمال تركيب لوحة توزيع الياف ضوئية</t>
        </is>
      </c>
      <c r="G573" s="5" t="inlineStr">
        <is>
          <t>أعمال كهرباء 86</t>
        </is>
      </c>
      <c r="H573" s="5" t="inlineStr">
        <is>
          <t>لوحة توزيع نظام كابلات الألياف الضوئية مزودة بعدد (12) موصل من النوع multi-mode</t>
        </is>
      </c>
      <c r="I573" s="11" t="inlineStr">
        <is>
          <t>نعم</t>
        </is>
      </c>
      <c r="J573" s="11" t="n">
        <v>2096</v>
      </c>
      <c r="K573" s="11" t="inlineStr">
        <is>
          <t>لا يوجد مرفقات</t>
        </is>
      </c>
      <c r="L573" s="11" t="inlineStr">
        <is>
          <t>عدد</t>
        </is>
      </c>
      <c r="M573" s="11" t="n">
        <v>2</v>
      </c>
      <c r="N573" s="22" t="n">
        <v>4200</v>
      </c>
      <c r="O573" s="25">
        <f>N573*M573</f>
        <v/>
      </c>
      <c r="P573" s="23" t="n">
        <v>8400</v>
      </c>
    </row>
    <row r="574">
      <c r="D574" s="4" t="inlineStr">
        <is>
          <t>الرقم التسلسلي</t>
        </is>
      </c>
      <c r="E574" s="4" t="inlineStr">
        <is>
          <t>الفئة</t>
        </is>
      </c>
      <c r="F574" s="4" t="inlineStr">
        <is>
          <t>البند</t>
        </is>
      </c>
      <c r="G574" s="4" t="inlineStr">
        <is>
          <t>وصف البند</t>
        </is>
      </c>
      <c r="H574" s="4" t="inlineStr">
        <is>
          <t>المواصفات</t>
        </is>
      </c>
      <c r="I574" s="9" t="inlineStr">
        <is>
          <t>منتج من القائمة الإلزامية</t>
        </is>
      </c>
      <c r="J574" s="9" t="inlineStr">
        <is>
          <t>الرمز الإنشائي</t>
        </is>
      </c>
      <c r="K574" s="9" t="inlineStr">
        <is>
          <t>مرفقات</t>
        </is>
      </c>
      <c r="L574" s="9" t="inlineStr">
        <is>
          <t>وحدة القياس</t>
        </is>
      </c>
      <c r="M574" s="9" t="inlineStr">
        <is>
          <t>الكمية</t>
        </is>
      </c>
      <c r="N574" s="20" t="inlineStr">
        <is>
          <t>سعر الوحدة</t>
        </is>
      </c>
      <c r="O574" s="20" t="inlineStr">
        <is>
          <t>الإجمالي</t>
        </is>
      </c>
      <c r="P574" s="13" t="n"/>
    </row>
    <row r="575">
      <c r="D575" s="21" t="n"/>
      <c r="E575" s="21" t="n"/>
      <c r="F575" s="21" t="n"/>
      <c r="G575" s="21" t="n"/>
      <c r="H575" s="21" t="n"/>
      <c r="I575" s="21" t="n"/>
      <c r="J575" s="21" t="n"/>
      <c r="K575" s="21" t="n"/>
      <c r="L575" s="21" t="n"/>
      <c r="M575" s="21" t="n"/>
      <c r="N575" s="21" t="n"/>
      <c r="O575" s="21" t="n"/>
      <c r="P575" s="13" t="n"/>
    </row>
    <row r="576">
      <c r="D576" s="5" t="n">
        <v>427</v>
      </c>
      <c r="E576" s="5" t="n">
        <v>427</v>
      </c>
      <c r="F576" s="5" t="inlineStr">
        <is>
          <t>سكن العمال تركيب سويتش</t>
        </is>
      </c>
      <c r="G576" s="5" t="inlineStr">
        <is>
          <t>أعمال كهرباء 87</t>
        </is>
      </c>
      <c r="H576" s="5" t="inlineStr">
        <is>
          <t>سويتش Switch 24-port POE</t>
        </is>
      </c>
      <c r="I576" s="11" t="inlineStr">
        <is>
          <t>لا</t>
        </is>
      </c>
      <c r="J576" s="11" t="n"/>
      <c r="K576" s="11" t="inlineStr">
        <is>
          <t>لا يوجد مرفقات</t>
        </is>
      </c>
      <c r="L576" s="11" t="inlineStr">
        <is>
          <t>عدد</t>
        </is>
      </c>
      <c r="M576" s="11" t="n">
        <v>2</v>
      </c>
      <c r="N576" s="22" t="n">
        <v>24500</v>
      </c>
      <c r="O576" s="25">
        <f>N576*M576</f>
        <v/>
      </c>
      <c r="P576" s="23" t="n">
        <v>49000</v>
      </c>
    </row>
    <row r="577">
      <c r="D577" s="5" t="n">
        <v>428</v>
      </c>
      <c r="E577" s="5" t="n">
        <v>428</v>
      </c>
      <c r="F577" s="5" t="inlineStr">
        <is>
          <t>سكن العمال تركيب لوحة توزيع</t>
        </is>
      </c>
      <c r="G577" s="5" t="inlineStr">
        <is>
          <t>أعمال كهرباء 88</t>
        </is>
      </c>
      <c r="H577" s="5" t="inlineStr">
        <is>
          <t>لوحة توزيع UTP CAT 6 لعدد 24 مخرج</t>
        </is>
      </c>
      <c r="I577" s="11" t="inlineStr">
        <is>
          <t>نعم</t>
        </is>
      </c>
      <c r="J577" s="11" t="n">
        <v>2096</v>
      </c>
      <c r="K577" s="11" t="inlineStr">
        <is>
          <t>لا يوجد مرفقات</t>
        </is>
      </c>
      <c r="L577" s="11" t="inlineStr">
        <is>
          <t>عدد</t>
        </is>
      </c>
      <c r="M577" s="11" t="n">
        <v>2</v>
      </c>
      <c r="N577" s="22" t="n">
        <v>24500</v>
      </c>
      <c r="O577" s="25">
        <f>N577*M577</f>
        <v/>
      </c>
      <c r="P577" s="23" t="n">
        <v>49000</v>
      </c>
    </row>
    <row r="578">
      <c r="D578" s="5" t="n">
        <v>429</v>
      </c>
      <c r="E578" s="5" t="n">
        <v>429</v>
      </c>
      <c r="F578" s="5" t="inlineStr">
        <is>
          <t>سكن العمال تركيب كابينة البيانات</t>
        </is>
      </c>
      <c r="G578" s="5" t="inlineStr">
        <is>
          <t>أعمال كهرباء 89</t>
        </is>
      </c>
      <c r="H578" s="5" t="inlineStr">
        <is>
          <t>كابينة البيانات Data Rack 26U</t>
        </is>
      </c>
      <c r="I578" s="11" t="inlineStr">
        <is>
          <t>لا</t>
        </is>
      </c>
      <c r="J578" s="11" t="n"/>
      <c r="K578" s="11" t="inlineStr">
        <is>
          <t>لا يوجد مرفقات</t>
        </is>
      </c>
      <c r="L578" s="11" t="inlineStr">
        <is>
          <t>عدد</t>
        </is>
      </c>
      <c r="M578" s="11" t="n">
        <v>2</v>
      </c>
      <c r="N578" s="22" t="n">
        <v>4200</v>
      </c>
      <c r="O578" s="25">
        <f>N578*M578</f>
        <v/>
      </c>
      <c r="P578" s="23" t="n">
        <v>8400</v>
      </c>
    </row>
    <row r="579">
      <c r="D579" s="5" t="n">
        <v>430</v>
      </c>
      <c r="E579" s="5" t="n">
        <v>430</v>
      </c>
      <c r="F579" s="5" t="inlineStr">
        <is>
          <t>سكن العمال تركيب كرد التوصيل 1 متر</t>
        </is>
      </c>
      <c r="G579" s="5" t="inlineStr">
        <is>
          <t>أعمال كهرباء 90</t>
        </is>
      </c>
      <c r="H579" s="5" t="inlineStr">
        <is>
          <t>بالعدد توريد وتركيب وتوصيل وتشغيل كرد التوصيل PATCH CORD من النوع (UTP-CAT6-RJ45) بطول 1 متر</t>
        </is>
      </c>
      <c r="I579" s="11" t="inlineStr">
        <is>
          <t>لا</t>
        </is>
      </c>
      <c r="J579" s="11" t="n"/>
      <c r="K579" s="11" t="inlineStr">
        <is>
          <t>لا يوجد مرفقات</t>
        </is>
      </c>
      <c r="L579" s="11" t="inlineStr">
        <is>
          <t>عدد</t>
        </is>
      </c>
      <c r="M579" s="11" t="n">
        <v>48</v>
      </c>
      <c r="N579" s="22" t="n">
        <v>70</v>
      </c>
      <c r="O579" s="25">
        <f>N579*M579</f>
        <v/>
      </c>
      <c r="P579" s="23" t="n">
        <v>3360</v>
      </c>
    </row>
    <row r="580">
      <c r="D580" s="5" t="n">
        <v>431</v>
      </c>
      <c r="E580" s="5" t="n">
        <v>431</v>
      </c>
      <c r="F580" s="5" t="inlineStr">
        <is>
          <t>سكن العمال تركيب كرد التوصيل 3 متر</t>
        </is>
      </c>
      <c r="G580" s="5" t="inlineStr">
        <is>
          <t>أعمال كهرباء 91</t>
        </is>
      </c>
      <c r="H580" s="5" t="inlineStr">
        <is>
          <t>بالعدد توريد وتركيب وتوصيل وتشغيل كرد التوصيل PATCH CORD من النوع (UTP-CAT6-RJ45) بطول 3 متر</t>
        </is>
      </c>
      <c r="I580" s="11" t="inlineStr">
        <is>
          <t>لا</t>
        </is>
      </c>
      <c r="J580" s="11" t="n"/>
      <c r="K580" s="11" t="inlineStr">
        <is>
          <t>لا يوجد مرفقات</t>
        </is>
      </c>
      <c r="L580" s="11" t="inlineStr">
        <is>
          <t>عدد</t>
        </is>
      </c>
      <c r="M580" s="11" t="n">
        <v>48</v>
      </c>
      <c r="N580" s="22" t="n">
        <v>210</v>
      </c>
      <c r="O580" s="25">
        <f>N580*M580</f>
        <v/>
      </c>
      <c r="P580" s="23" t="n">
        <v>10080</v>
      </c>
    </row>
    <row r="581">
      <c r="D581" s="5" t="n">
        <v>432</v>
      </c>
      <c r="E581" s="5" t="n">
        <v>432</v>
      </c>
      <c r="F581" s="5" t="inlineStr">
        <is>
          <t>سكن العمال تركيب وحدات نقاط لاسلكية</t>
        </is>
      </c>
      <c r="G581" s="5" t="inlineStr">
        <is>
          <t>أعمال كهرباء 92</t>
        </is>
      </c>
      <c r="H581" s="5" t="inlineStr">
        <is>
          <t>وحدات نقاط لاسلكية (WAP)</t>
        </is>
      </c>
      <c r="I581" s="11" t="inlineStr">
        <is>
          <t>لا</t>
        </is>
      </c>
      <c r="J581" s="11" t="n"/>
      <c r="K581" s="11" t="inlineStr">
        <is>
          <t>لا يوجد مرفقات</t>
        </is>
      </c>
      <c r="L581" s="11" t="inlineStr">
        <is>
          <t>عدد</t>
        </is>
      </c>
      <c r="M581" s="11" t="n">
        <v>4</v>
      </c>
      <c r="N581" s="22" t="n">
        <v>840</v>
      </c>
      <c r="O581" s="25">
        <f>N581*M581</f>
        <v/>
      </c>
      <c r="P581" s="23" t="n">
        <v>3360</v>
      </c>
    </row>
    <row r="582">
      <c r="D582" s="4" t="inlineStr">
        <is>
          <t>لرقم التسلسلي</t>
        </is>
      </c>
      <c r="E582" s="4" t="inlineStr">
        <is>
          <t>الفئة</t>
        </is>
      </c>
      <c r="F582" s="4" t="inlineStr">
        <is>
          <t>البند</t>
        </is>
      </c>
      <c r="G582" s="4" t="inlineStr">
        <is>
          <t>وصف البند</t>
        </is>
      </c>
      <c r="H582" s="4" t="inlineStr">
        <is>
          <t>المواصفات</t>
        </is>
      </c>
      <c r="I582" s="9" t="inlineStr">
        <is>
          <t>منتج من القائمة الإلزامية</t>
        </is>
      </c>
      <c r="J582" s="9" t="inlineStr">
        <is>
          <t>الرمز الإنشائي</t>
        </is>
      </c>
      <c r="K582" s="9" t="inlineStr">
        <is>
          <t>مرفقات</t>
        </is>
      </c>
      <c r="L582" s="9" t="inlineStr">
        <is>
          <t>وحدة القياس</t>
        </is>
      </c>
      <c r="M582" s="9" t="inlineStr">
        <is>
          <t>الكمية</t>
        </is>
      </c>
      <c r="N582" s="20" t="inlineStr">
        <is>
          <t>سعر الوحدة</t>
        </is>
      </c>
      <c r="O582" s="20" t="inlineStr">
        <is>
          <t>الإجمالي</t>
        </is>
      </c>
      <c r="P582" s="13" t="n"/>
    </row>
    <row r="583">
      <c r="D583" s="21" t="n"/>
      <c r="E583" s="21" t="n"/>
      <c r="F583" s="21" t="n"/>
      <c r="G583" s="21" t="n"/>
      <c r="H583" s="21" t="n"/>
      <c r="I583" s="21" t="n"/>
      <c r="J583" s="21" t="n"/>
      <c r="K583" s="21" t="n"/>
      <c r="L583" s="21" t="n"/>
      <c r="M583" s="21" t="n"/>
      <c r="N583" s="21" t="n"/>
      <c r="O583" s="21" t="n"/>
      <c r="P583" s="13" t="n"/>
    </row>
    <row r="584">
      <c r="D584" s="5" t="n">
        <v>433</v>
      </c>
      <c r="E584" s="5" t="n">
        <v>433</v>
      </c>
      <c r="F584" s="5" t="inlineStr">
        <is>
          <t>سكن العمال تركيب مأخذ وحدة ادخال بيانات</t>
        </is>
      </c>
      <c r="G584" s="5" t="inlineStr">
        <is>
          <t>أعمال كهرباء 93</t>
        </is>
      </c>
      <c r="H584" s="5" t="inlineStr">
        <is>
          <t>مأخذ وحدة ادخال بيانات مركب على الحائط</t>
        </is>
      </c>
      <c r="I584" s="11" t="inlineStr">
        <is>
          <t>لا</t>
        </is>
      </c>
      <c r="J584" s="11" t="n"/>
      <c r="K584" s="11" t="inlineStr">
        <is>
          <t>لا يوجد مرفقات</t>
        </is>
      </c>
      <c r="L584" s="11" t="inlineStr">
        <is>
          <t>عدد</t>
        </is>
      </c>
      <c r="M584" s="11" t="n">
        <v>12</v>
      </c>
      <c r="N584" s="22" t="n">
        <v>350</v>
      </c>
      <c r="O584" s="25">
        <f>N584*M584</f>
        <v/>
      </c>
      <c r="P584" s="23" t="n">
        <v>4200</v>
      </c>
    </row>
    <row r="585" ht="34.8" customHeight="1">
      <c r="D585" s="5" t="n">
        <v>434</v>
      </c>
      <c r="E585" s="5" t="n">
        <v>434</v>
      </c>
      <c r="F585" s="5" t="inlineStr">
        <is>
          <t>سكن العمال مخرج وحدة تليفونات</t>
        </is>
      </c>
      <c r="G585" s="5" t="inlineStr">
        <is>
          <t>أعمال كهرباء 94</t>
        </is>
      </c>
      <c r="H585" s="5" t="inlineStr">
        <is>
          <t>مخرج وحدة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is>
      </c>
      <c r="I585" s="11" t="inlineStr">
        <is>
          <t>لا</t>
        </is>
      </c>
      <c r="J585" s="11" t="n"/>
      <c r="K585" s="11" t="inlineStr">
        <is>
          <t>لا يوجد مرفقات</t>
        </is>
      </c>
      <c r="L585" s="11" t="inlineStr">
        <is>
          <t>عدد</t>
        </is>
      </c>
      <c r="M585" s="11" t="n">
        <v>7</v>
      </c>
      <c r="N585" s="22" t="n">
        <v>350</v>
      </c>
      <c r="O585" s="25">
        <f>N585*M585</f>
        <v/>
      </c>
      <c r="P585" s="23" t="n">
        <v>2450</v>
      </c>
    </row>
    <row r="586">
      <c r="D586" s="5" t="n">
        <v>435</v>
      </c>
      <c r="E586" s="5" t="n">
        <v>435</v>
      </c>
      <c r="F586" s="5" t="inlineStr">
        <is>
          <t>سكن العمال تركيب مأخذ وحدة تليفون</t>
        </is>
      </c>
      <c r="G586" s="5" t="inlineStr">
        <is>
          <t>أعمال كهرباء 95</t>
        </is>
      </c>
      <c r="H586" s="5" t="inlineStr">
        <is>
          <t>مأخذ وحدة تليفون مركب على الحائط</t>
        </is>
      </c>
      <c r="I586" s="11" t="inlineStr">
        <is>
          <t>لا</t>
        </is>
      </c>
      <c r="J586" s="11" t="n"/>
      <c r="K586" s="11" t="inlineStr">
        <is>
          <t>لا يوجد مرفقات</t>
        </is>
      </c>
      <c r="L586" s="11" t="inlineStr">
        <is>
          <t>عدد</t>
        </is>
      </c>
      <c r="M586" s="11" t="n">
        <v>16</v>
      </c>
      <c r="N586" s="22" t="n">
        <v>350</v>
      </c>
      <c r="O586" s="25">
        <f>N586*M586</f>
        <v/>
      </c>
      <c r="P586" s="23" t="n">
        <v>5600</v>
      </c>
    </row>
    <row r="587" ht="34.8" customHeight="1">
      <c r="D587" s="5" t="n">
        <v>436</v>
      </c>
      <c r="E587" s="5" t="n">
        <v>436</v>
      </c>
      <c r="F587" s="5" t="inlineStr">
        <is>
          <t>سكن العمال مأخذ وحدة تليفون من النوع المقاوم</t>
        </is>
      </c>
      <c r="G587" s="5" t="inlineStr">
        <is>
          <t>أعمال كهرباء 96</t>
        </is>
      </c>
      <c r="H587" s="5" t="inlineStr">
        <is>
          <t>مأخذ وحدة تليفون مركب على الحائط من النوع المقاوم للعوامل الجوية IP=54 WATER PROOF</t>
        </is>
      </c>
      <c r="I587" s="11" t="inlineStr">
        <is>
          <t>لا</t>
        </is>
      </c>
      <c r="J587" s="11" t="n"/>
      <c r="K587" s="11" t="inlineStr">
        <is>
          <t>لا يوجد مرفقات</t>
        </is>
      </c>
      <c r="L587" s="11" t="inlineStr">
        <is>
          <t>عدد</t>
        </is>
      </c>
      <c r="M587" s="11" t="n">
        <v>1</v>
      </c>
      <c r="N587" s="22" t="n">
        <v>350</v>
      </c>
      <c r="O587" s="25">
        <f>N587*M587</f>
        <v/>
      </c>
      <c r="P587" s="23" t="n">
        <v>350</v>
      </c>
    </row>
    <row r="588" ht="34.8" customHeight="1">
      <c r="D588" s="5" t="n">
        <v>437</v>
      </c>
      <c r="E588" s="5" t="n">
        <v>437</v>
      </c>
      <c r="F588" s="5" t="inlineStr">
        <is>
          <t>سكن العمال تركيب مخرج وحدة ادخال بيانات</t>
        </is>
      </c>
      <c r="G588" s="5" t="inlineStr">
        <is>
          <t>أعمال كهرباء 97</t>
        </is>
      </c>
      <c r="H588" s="5" t="inlineStr">
        <is>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is>
      </c>
      <c r="I588" s="11" t="inlineStr">
        <is>
          <t>لا</t>
        </is>
      </c>
      <c r="J588" s="11" t="n"/>
      <c r="K588" s="11" t="inlineStr">
        <is>
          <t>لا يوجد مرفقات</t>
        </is>
      </c>
      <c r="L588" s="11" t="inlineStr">
        <is>
          <t>عدد</t>
        </is>
      </c>
      <c r="M588" s="11" t="n">
        <v>32</v>
      </c>
      <c r="N588" s="22" t="n">
        <v>350</v>
      </c>
      <c r="O588" s="25">
        <f>N588*M588</f>
        <v/>
      </c>
      <c r="P588" s="23" t="n">
        <v>11200</v>
      </c>
    </row>
    <row r="589" ht="121.8" customHeight="1">
      <c r="D589" s="5" t="n">
        <v>438</v>
      </c>
      <c r="E589" s="5" t="n">
        <v>438</v>
      </c>
      <c r="F589" s="5" t="inlineStr">
        <is>
          <t>سكن العمال كاميرا مراقبة ملونة خارجية</t>
        </is>
      </c>
      <c r="G589" s="5" t="inlineStr">
        <is>
          <t>أعمال كهرباء 98</t>
        </is>
      </c>
      <c r="H589" s="5" t="inlineStr">
        <is>
          <t>كاميرا مراقبة ملونة IP تثبيت حائطي (OUTDOOR BULLET Camera with Full HD 4 MP 20 fps image with a 1/3" 4 megapixel sensor and Wide Dynamic Range, up to 120 dB, ensures glare-free images withTrue Day/Night provides vivid color images by day and clear black-and-white images at night with ICR with Excellent low-light performance with 3D noise reduction, saving storage and bandwidth 28 mm fixed lens , POE H264 and MJPEG codec, triple stream support and IR LEDs provide up to (30 m) of illumination in dimly lit or nighttime scenes (depending on scene reflectance) and Smart IR technology provides even distribution of IR withWeatherproof (IP66) and vandal-resistant (IK10) camera housing –30°C to 60°C (–22°F to 140°F) working temperature Plug-and-play compatible with Honeywell 4/8/16-channel and Performance Series Embedded NVRs POE support --- support SD card</t>
        </is>
      </c>
      <c r="I589" s="11" t="inlineStr">
        <is>
          <t>لا</t>
        </is>
      </c>
      <c r="J589" s="11" t="n"/>
      <c r="K589" s="11" t="inlineStr">
        <is>
          <t>لا يوجد مرفقات</t>
        </is>
      </c>
      <c r="L589" s="11" t="inlineStr">
        <is>
          <t>عدد</t>
        </is>
      </c>
      <c r="M589" s="11" t="n">
        <v>2</v>
      </c>
      <c r="N589" s="22" t="n">
        <v>2450</v>
      </c>
      <c r="O589" s="25">
        <f>N589*M589</f>
        <v/>
      </c>
      <c r="P589" s="23" t="n">
        <v>4900</v>
      </c>
    </row>
    <row r="590">
      <c r="D590" s="4" t="inlineStr">
        <is>
          <t>الرقم التسلسلي</t>
        </is>
      </c>
      <c r="E590" s="4" t="inlineStr">
        <is>
          <t>الفئة</t>
        </is>
      </c>
      <c r="F590" s="4" t="inlineStr">
        <is>
          <t>البند</t>
        </is>
      </c>
      <c r="G590" s="4" t="inlineStr">
        <is>
          <t>وصف البند</t>
        </is>
      </c>
      <c r="H590" s="4" t="inlineStr">
        <is>
          <t>المواصفات</t>
        </is>
      </c>
      <c r="I590" s="9" t="inlineStr">
        <is>
          <t>منتج من القائمة الإلزامية</t>
        </is>
      </c>
      <c r="J590" s="9" t="inlineStr">
        <is>
          <t>الرمز الإنشائي</t>
        </is>
      </c>
      <c r="K590" s="9" t="inlineStr">
        <is>
          <t>مرفقات</t>
        </is>
      </c>
      <c r="L590" s="9" t="inlineStr">
        <is>
          <t>وحدة القياس</t>
        </is>
      </c>
      <c r="M590" s="9" t="inlineStr">
        <is>
          <t>الكمية</t>
        </is>
      </c>
      <c r="N590" s="20" t="inlineStr">
        <is>
          <t>سعر الوحدة</t>
        </is>
      </c>
      <c r="O590" s="20" t="inlineStr">
        <is>
          <t>الإجمالي</t>
        </is>
      </c>
      <c r="P590" s="13" t="n"/>
    </row>
    <row r="591">
      <c r="D591" s="21" t="n"/>
      <c r="E591" s="21" t="n"/>
      <c r="F591" s="21" t="n"/>
      <c r="G591" s="21" t="n"/>
      <c r="H591" s="21" t="n"/>
      <c r="I591" s="21" t="n"/>
      <c r="J591" s="21" t="n"/>
      <c r="K591" s="21" t="n"/>
      <c r="L591" s="21" t="n"/>
      <c r="M591" s="21" t="n"/>
      <c r="N591" s="21" t="n"/>
      <c r="O591" s="21" t="n"/>
      <c r="P591" s="13" t="n"/>
    </row>
    <row r="592" ht="121.8" customHeight="1">
      <c r="D592" s="5" t="n">
        <v>439</v>
      </c>
      <c r="E592" s="5" t="n">
        <v>439</v>
      </c>
      <c r="F592" s="5" t="inlineStr">
        <is>
          <t>سكن العمال تركيب كاميرا مراقبة ملونة داخلية</t>
        </is>
      </c>
      <c r="G592" s="5" t="inlineStr">
        <is>
          <t>أعمال كهرباء 99</t>
        </is>
      </c>
      <c r="H592" s="5" t="inlineStr">
        <is>
          <t>كاميرا مراقبة ملونة IP تثبيت حائطي (intdoor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is>
      </c>
      <c r="I592" s="11" t="inlineStr">
        <is>
          <t>لا</t>
        </is>
      </c>
      <c r="J592" s="11" t="n"/>
      <c r="K592" s="11" t="inlineStr">
        <is>
          <t>لا يوجد مرفقات</t>
        </is>
      </c>
      <c r="L592" s="11" t="inlineStr">
        <is>
          <t>عدد</t>
        </is>
      </c>
      <c r="M592" s="11" t="n">
        <v>4</v>
      </c>
      <c r="N592" s="22" t="n">
        <v>2450</v>
      </c>
      <c r="O592" s="25">
        <f>N592*M592</f>
        <v/>
      </c>
      <c r="P592" s="23" t="n">
        <v>9800</v>
      </c>
    </row>
    <row r="593" ht="34.8" customHeight="1">
      <c r="D593" s="5" t="n">
        <v>440</v>
      </c>
      <c r="E593" s="5" t="n">
        <v>440</v>
      </c>
      <c r="F593" s="5" t="inlineStr">
        <is>
          <t>سكن العمال تركيب مخرج كاميرا</t>
        </is>
      </c>
      <c r="G593" s="5" t="inlineStr">
        <is>
          <t>أعمال كهرباء 100</t>
        </is>
      </c>
      <c r="H593" s="5" t="inlineStr">
        <is>
          <t>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is>
      </c>
      <c r="I593" s="11" t="inlineStr">
        <is>
          <t>نعم</t>
        </is>
      </c>
      <c r="J593" s="11" t="n">
        <v>2088</v>
      </c>
      <c r="K593" s="11" t="inlineStr">
        <is>
          <t>لا يوجد مرفقات</t>
        </is>
      </c>
      <c r="L593" s="11" t="inlineStr">
        <is>
          <t>عدد</t>
        </is>
      </c>
      <c r="M593" s="11" t="n">
        <v>4</v>
      </c>
      <c r="N593" s="22" t="n">
        <v>210</v>
      </c>
      <c r="O593" s="25">
        <f>N593*M593</f>
        <v/>
      </c>
      <c r="P593" s="23" t="n">
        <v>840</v>
      </c>
    </row>
    <row r="594" ht="34.8" customHeight="1">
      <c r="D594" s="5" t="n">
        <v>441</v>
      </c>
      <c r="E594" s="5" t="n">
        <v>441</v>
      </c>
      <c r="F594" s="5" t="inlineStr">
        <is>
          <t>سكن العمال تركيب نظام تليفون</t>
        </is>
      </c>
      <c r="G594" s="5" t="inlineStr">
        <is>
          <t>أعمال كهرباء 101</t>
        </is>
      </c>
      <c r="H594" s="5" t="inlineStr">
        <is>
          <t>توريد وتركيب واختبار و تشغيل تجريبي نظام التليفزيون و تشمل البريزة و مخرجها ومخرج للاقمار الصناعية و نقاط توزيع و جهاز تقسيم و المواسير والعلب والاسلاك والكابلات وحوامل الكابلات و صناديق السحب و جميع الملحقات والمواد الاضافية اللازمة لاتمام العمل علي الوجه الكامل كما هو موضح بالرسومات والمواصفات الفنية</t>
        </is>
      </c>
      <c r="I594" s="11" t="inlineStr">
        <is>
          <t>نعم</t>
        </is>
      </c>
      <c r="J594" s="11" t="n">
        <v>2088</v>
      </c>
      <c r="K594" s="11" t="inlineStr">
        <is>
          <t>لا يوجد مرفقات</t>
        </is>
      </c>
      <c r="L594" s="11" t="inlineStr">
        <is>
          <t>عدد</t>
        </is>
      </c>
      <c r="M594" s="11" t="n">
        <v>2</v>
      </c>
      <c r="N594" s="22" t="n">
        <v>70000</v>
      </c>
      <c r="O594" s="25">
        <f>N594*M594</f>
        <v/>
      </c>
      <c r="P594" s="23" t="n">
        <v>140000</v>
      </c>
    </row>
    <row r="595">
      <c r="D595" s="5" t="n">
        <v>442</v>
      </c>
      <c r="E595" s="5" t="n">
        <v>442</v>
      </c>
      <c r="F595" s="5" t="inlineStr">
        <is>
          <t>مبنى العيادة تركيب نظام أرضي</t>
        </is>
      </c>
      <c r="G595" s="5" t="inlineStr">
        <is>
          <t>أعمال كهرباء 102</t>
        </is>
      </c>
      <c r="H595" s="5" t="inlineStr">
        <is>
          <t>بالمقطوعية توريد وتركيب وتوصيل وإختبار نظام أرضى</t>
        </is>
      </c>
      <c r="I595" s="11" t="inlineStr">
        <is>
          <t>لا</t>
        </is>
      </c>
      <c r="J595" s="11" t="n"/>
      <c r="K595" s="11" t="inlineStr">
        <is>
          <t>لا يوجد مرفقات</t>
        </is>
      </c>
      <c r="L595" s="11" t="inlineStr">
        <is>
          <t>عدد</t>
        </is>
      </c>
      <c r="M595" s="11" t="n">
        <v>1</v>
      </c>
      <c r="N595" s="22" t="n">
        <v>17500</v>
      </c>
      <c r="O595" s="25">
        <f>N595*M595</f>
        <v/>
      </c>
      <c r="P595" s="23" t="n">
        <v>17500</v>
      </c>
    </row>
    <row r="596">
      <c r="D596" s="5" t="n">
        <v>443</v>
      </c>
      <c r="E596" s="5" t="n">
        <v>443</v>
      </c>
      <c r="F596" s="5" t="inlineStr">
        <is>
          <t>مبنى العيادة تركيب لوحات توزيع الانارة</t>
        </is>
      </c>
      <c r="G596" s="5" t="inlineStr">
        <is>
          <t>أعمال كهرباء 103</t>
        </is>
      </c>
      <c r="H596" s="5" t="inlineStr">
        <is>
          <t>EDB-GUARD</t>
        </is>
      </c>
      <c r="I596" s="11" t="inlineStr">
        <is>
          <t>لا</t>
        </is>
      </c>
      <c r="J596" s="11" t="n"/>
      <c r="K596" s="11" t="inlineStr">
        <is>
          <t>لا يوجد مرفقات</t>
        </is>
      </c>
      <c r="L596" s="11" t="inlineStr">
        <is>
          <t>عدد</t>
        </is>
      </c>
      <c r="M596" s="11" t="n">
        <v>1</v>
      </c>
      <c r="N596" s="22" t="n">
        <v>16800</v>
      </c>
      <c r="O596" s="25">
        <f>N596*M596</f>
        <v/>
      </c>
      <c r="P596" s="23" t="n">
        <v>16800</v>
      </c>
    </row>
    <row r="597">
      <c r="D597" s="5" t="n">
        <v>444</v>
      </c>
      <c r="E597" s="5" t="n">
        <v>444</v>
      </c>
      <c r="F597" s="5" t="inlineStr">
        <is>
          <t>مبنى العيادة تركيب مقبس احادي الطور</t>
        </is>
      </c>
      <c r="G597" s="5" t="inlineStr">
        <is>
          <t>أعمال كهرباء 104</t>
        </is>
      </c>
      <c r="H597" s="5" t="inlineStr">
        <is>
          <t>مقبس احادي الطور(1P+N+E) مزدوج 16 امبير بأسلاك 3*4 مم2 نحاس</t>
        </is>
      </c>
      <c r="I597" s="11" t="inlineStr">
        <is>
          <t>نعم</t>
        </is>
      </c>
      <c r="J597" s="11" t="n">
        <v>2088</v>
      </c>
      <c r="K597" s="11" t="inlineStr">
        <is>
          <t>لا يوجد مرفقات</t>
        </is>
      </c>
      <c r="L597" s="11" t="inlineStr">
        <is>
          <t>عدد</t>
        </is>
      </c>
      <c r="M597" s="11" t="n">
        <v>4</v>
      </c>
      <c r="N597" s="22" t="n">
        <v>140</v>
      </c>
      <c r="O597" s="25">
        <f>N597*M597</f>
        <v/>
      </c>
      <c r="P597" s="23" t="n">
        <v>560</v>
      </c>
    </row>
    <row r="598">
      <c r="D598" s="4" t="inlineStr">
        <is>
          <t>لرقم التسلسلي</t>
        </is>
      </c>
      <c r="E598" s="4" t="inlineStr">
        <is>
          <t>الفئة</t>
        </is>
      </c>
      <c r="F598" s="4" t="inlineStr">
        <is>
          <t>البند</t>
        </is>
      </c>
      <c r="G598" s="4" t="inlineStr">
        <is>
          <t>وصف البند</t>
        </is>
      </c>
      <c r="H598" s="4" t="inlineStr">
        <is>
          <t>المواصفات</t>
        </is>
      </c>
      <c r="I598" s="9" t="inlineStr">
        <is>
          <t>منتج من القائمة الإلزامية</t>
        </is>
      </c>
      <c r="J598" s="9" t="inlineStr">
        <is>
          <t>الرمز الإنشائي</t>
        </is>
      </c>
      <c r="K598" s="9" t="inlineStr">
        <is>
          <t>مرفقات</t>
        </is>
      </c>
      <c r="L598" s="9" t="inlineStr">
        <is>
          <t>وحدة القياس</t>
        </is>
      </c>
      <c r="M598" s="9" t="inlineStr">
        <is>
          <t>الكمية</t>
        </is>
      </c>
      <c r="N598" s="20" t="inlineStr">
        <is>
          <t>سعر الوحدة</t>
        </is>
      </c>
      <c r="O598" s="20" t="inlineStr">
        <is>
          <t>الإجمالي</t>
        </is>
      </c>
      <c r="P598" s="13" t="n"/>
    </row>
    <row r="599">
      <c r="D599" s="21" t="n"/>
      <c r="E599" s="21" t="n"/>
      <c r="F599" s="21" t="n"/>
      <c r="G599" s="21" t="n"/>
      <c r="H599" s="21" t="n"/>
      <c r="I599" s="21" t="n"/>
      <c r="J599" s="21" t="n"/>
      <c r="K599" s="21" t="n"/>
      <c r="L599" s="21" t="n"/>
      <c r="M599" s="21" t="n"/>
      <c r="N599" s="21" t="n"/>
      <c r="O599" s="21" t="n"/>
      <c r="P599" s="13" t="n"/>
    </row>
    <row r="600">
      <c r="D600" s="5" t="n">
        <v>445</v>
      </c>
      <c r="E600" s="5" t="n">
        <v>445</v>
      </c>
      <c r="F600" s="5" t="inlineStr">
        <is>
          <t>مبنى العيادة مقبس احادى الطور20A</t>
        </is>
      </c>
      <c r="G600" s="5" t="inlineStr">
        <is>
          <t>أعمال كهرباء 105</t>
        </is>
      </c>
      <c r="H600" s="5" t="inlineStr">
        <is>
          <t>مقبس احادي الطور(1P+N+E) فردي 20 امبير بأسلاك 3*4 مم2 نحاس</t>
        </is>
      </c>
      <c r="I600" s="11" t="inlineStr">
        <is>
          <t>لا</t>
        </is>
      </c>
      <c r="J600" s="11" t="n"/>
      <c r="K600" s="11" t="inlineStr">
        <is>
          <t>لا يوجد مرفقات</t>
        </is>
      </c>
      <c r="L600" s="11" t="inlineStr">
        <is>
          <t>عدد</t>
        </is>
      </c>
      <c r="M600" s="11" t="n">
        <v>3</v>
      </c>
      <c r="N600" s="22" t="n">
        <v>140</v>
      </c>
      <c r="O600" s="25">
        <f>N600*M600</f>
        <v/>
      </c>
      <c r="P600" s="23" t="n">
        <v>420</v>
      </c>
    </row>
    <row r="601" ht="34.8" customHeight="1">
      <c r="D601" s="5" t="n">
        <v>446</v>
      </c>
      <c r="E601" s="5" t="n">
        <v>446</v>
      </c>
      <c r="F601" s="5" t="inlineStr">
        <is>
          <t>مبنى العيادة تركيب مفتاح فصل وتشغيل 25 امبير</t>
        </is>
      </c>
      <c r="G601" s="5" t="inlineStr">
        <is>
          <t>أعمال كهرباء 106</t>
        </is>
      </c>
      <c r="H601" s="5" t="inlineStr">
        <is>
          <t>مفتاح فصل وتشغيل (1P+E) 25أمبير - 230 فولت باسلاك 6*3 مم2 نحاس لزوم التكييف من المفتاح الى اللوحة ومن المفتاح الى المروحة والمفتاح مزود بلمبة بيان</t>
        </is>
      </c>
      <c r="I601" s="11" t="inlineStr">
        <is>
          <t>نعم</t>
        </is>
      </c>
      <c r="J601" s="11" t="n">
        <v>2085</v>
      </c>
      <c r="K601" s="11" t="inlineStr">
        <is>
          <t>لا يوجد مرفقات</t>
        </is>
      </c>
      <c r="L601" s="11" t="inlineStr">
        <is>
          <t>عدد</t>
        </is>
      </c>
      <c r="M601" s="11" t="n">
        <v>1</v>
      </c>
      <c r="N601" s="22" t="n">
        <v>140</v>
      </c>
      <c r="O601" s="25">
        <f>N601*M601</f>
        <v/>
      </c>
      <c r="P601" s="23" t="n">
        <v>140</v>
      </c>
    </row>
    <row r="602" ht="34.8" customHeight="1">
      <c r="D602" s="5" t="n">
        <v>447</v>
      </c>
      <c r="E602" s="5" t="n">
        <v>447</v>
      </c>
      <c r="F602" s="5" t="inlineStr">
        <is>
          <t>مبنى العيادة تركيب مفتاح فصل وتشغيل 20 امبير</t>
        </is>
      </c>
      <c r="G602" s="5" t="inlineStr">
        <is>
          <t>أعمال كهرباء 107</t>
        </is>
      </c>
      <c r="H602" s="5" t="inlineStr">
        <is>
          <t>مفتاح فصل وتشغيل (1P+E) 20أمبير - 230 فولت باسلاك 4*3 مم2 نحاس لزوم السخان من المفتاح الى اللوحة ومن المفتاح الى السخان والمفتاح مزود بلمبة بيان</t>
        </is>
      </c>
      <c r="I602" s="11" t="inlineStr">
        <is>
          <t>نعم</t>
        </is>
      </c>
      <c r="J602" s="11" t="n">
        <v>2085</v>
      </c>
      <c r="K602" s="11" t="inlineStr">
        <is>
          <t>لا يوجد مرفقات</t>
        </is>
      </c>
      <c r="L602" s="11" t="inlineStr">
        <is>
          <t>عدد</t>
        </is>
      </c>
      <c r="M602" s="11" t="n">
        <v>1</v>
      </c>
      <c r="N602" s="22" t="n">
        <v>140</v>
      </c>
      <c r="O602" s="25">
        <f>N602*M602</f>
        <v/>
      </c>
      <c r="P602" s="23" t="n">
        <v>140</v>
      </c>
    </row>
    <row r="603" ht="34.8" customHeight="1">
      <c r="D603" s="5" t="n">
        <v>448</v>
      </c>
      <c r="E603" s="5" t="n">
        <v>448</v>
      </c>
      <c r="F603" s="5" t="inlineStr">
        <is>
          <t>مبنى العيادة تركيب مفتاح اتجاه واحد 1 لقمة 10 امبير</t>
        </is>
      </c>
      <c r="G603" s="5" t="inlineStr">
        <is>
          <t>أعمال كهرباء 108</t>
        </is>
      </c>
      <c r="H603" s="5" t="inlineStr">
        <is>
          <t>مفتاح اتجاة واحد بعدد 1 لقمة 10 أمبير ,230 فولت</t>
        </is>
      </c>
      <c r="I603" s="11" t="inlineStr">
        <is>
          <t>نعم</t>
        </is>
      </c>
      <c r="J603" s="11" t="n">
        <v>2085</v>
      </c>
      <c r="K603" s="11" t="inlineStr">
        <is>
          <t>لا يوجد مرفقات</t>
        </is>
      </c>
      <c r="L603" s="11" t="inlineStr">
        <is>
          <t>عدد</t>
        </is>
      </c>
      <c r="M603" s="11" t="n">
        <v>1</v>
      </c>
      <c r="N603" s="22" t="n">
        <v>140</v>
      </c>
      <c r="O603" s="25">
        <f>N603*M603</f>
        <v/>
      </c>
      <c r="P603" s="23" t="n">
        <v>140</v>
      </c>
    </row>
    <row r="604">
      <c r="D604" s="5" t="n">
        <v>449</v>
      </c>
      <c r="E604" s="5" t="n">
        <v>449</v>
      </c>
      <c r="F604" s="5" t="inlineStr">
        <is>
          <t>مبنى العيادة تركيب مخرج انارة</t>
        </is>
      </c>
      <c r="G604" s="5" t="inlineStr">
        <is>
          <t>أعمال كهرباء 109</t>
        </is>
      </c>
      <c r="H604" s="5" t="inlineStr">
        <is>
          <t>مخرج انارة بأسلاك 3×3 مم2 نحاس</t>
        </is>
      </c>
      <c r="I604" s="11" t="inlineStr">
        <is>
          <t>لا</t>
        </is>
      </c>
      <c r="J604" s="11" t="n"/>
      <c r="K604" s="11" t="inlineStr">
        <is>
          <t>لا يوجد مرفقات</t>
        </is>
      </c>
      <c r="L604" s="11" t="inlineStr">
        <is>
          <t>عدد</t>
        </is>
      </c>
      <c r="M604" s="11" t="n">
        <v>10</v>
      </c>
      <c r="N604" s="22" t="n">
        <v>70</v>
      </c>
      <c r="O604" s="25">
        <f>N604*M604</f>
        <v/>
      </c>
      <c r="P604" s="23" t="n">
        <v>700</v>
      </c>
    </row>
    <row r="605">
      <c r="D605" s="5" t="n">
        <v>450</v>
      </c>
      <c r="E605" s="5" t="n">
        <v>450</v>
      </c>
      <c r="F605" s="5" t="inlineStr">
        <is>
          <t>مبنى العيادة تركيب كشاف ليد بانل</t>
        </is>
      </c>
      <c r="G605" s="5" t="inlineStr">
        <is>
          <t>أعمال كهرباء 110</t>
        </is>
      </c>
      <c r="H605" s="5" t="inlineStr">
        <is>
          <t>كشاف ليد بانل 60*60سم - 40 وات 220و فولت و 60 هرتز للتركيب غاطس بالسقف وبدرجة حرارة لون لاتقل عن 4000 كلفن</t>
        </is>
      </c>
      <c r="I605" s="11" t="inlineStr">
        <is>
          <t>نعم</t>
        </is>
      </c>
      <c r="J605" s="11" t="n">
        <v>2087</v>
      </c>
      <c r="K605" s="11" t="inlineStr">
        <is>
          <t>لا يوجد مرفقات</t>
        </is>
      </c>
      <c r="L605" s="11" t="inlineStr">
        <is>
          <t>عدد</t>
        </is>
      </c>
      <c r="M605" s="11" t="n">
        <v>3</v>
      </c>
      <c r="N605" s="22" t="n">
        <v>105</v>
      </c>
      <c r="O605" s="25">
        <f>N605*M605</f>
        <v/>
      </c>
      <c r="P605" s="23" t="n">
        <v>315</v>
      </c>
    </row>
    <row r="606">
      <c r="D606" s="4" t="inlineStr">
        <is>
          <t>الرقم التسلسلي</t>
        </is>
      </c>
      <c r="E606" s="4" t="inlineStr">
        <is>
          <t>الفئة</t>
        </is>
      </c>
      <c r="F606" s="4" t="inlineStr">
        <is>
          <t>البند</t>
        </is>
      </c>
      <c r="G606" s="4" t="inlineStr">
        <is>
          <t>وصف البند</t>
        </is>
      </c>
      <c r="H606" s="4" t="inlineStr">
        <is>
          <t>المواصفات</t>
        </is>
      </c>
      <c r="I606" s="9" t="inlineStr">
        <is>
          <t>منتج من القائمة الإلزامية</t>
        </is>
      </c>
      <c r="J606" s="9" t="inlineStr">
        <is>
          <t>الرمز الإنشائي</t>
        </is>
      </c>
      <c r="K606" s="9" t="inlineStr">
        <is>
          <t>مرفقات</t>
        </is>
      </c>
      <c r="L606" s="9" t="inlineStr">
        <is>
          <t>وحدة القياس</t>
        </is>
      </c>
      <c r="M606" s="9" t="inlineStr">
        <is>
          <t>الكمية</t>
        </is>
      </c>
      <c r="N606" s="20" t="inlineStr">
        <is>
          <t>سعر الوحدة</t>
        </is>
      </c>
      <c r="O606" s="20" t="inlineStr">
        <is>
          <t>الإجمالي</t>
        </is>
      </c>
      <c r="P606" s="13" t="n"/>
    </row>
    <row r="607">
      <c r="D607" s="21" t="n"/>
      <c r="E607" s="21" t="n"/>
      <c r="F607" s="21" t="n"/>
      <c r="G607" s="21" t="n"/>
      <c r="H607" s="21" t="n"/>
      <c r="I607" s="21" t="n"/>
      <c r="J607" s="21" t="n"/>
      <c r="K607" s="21" t="n"/>
      <c r="L607" s="21" t="n"/>
      <c r="M607" s="21" t="n"/>
      <c r="N607" s="21" t="n"/>
      <c r="O607" s="21" t="n"/>
      <c r="P607" s="13" t="n"/>
    </row>
    <row r="608">
      <c r="D608" s="5" t="n">
        <v>451</v>
      </c>
      <c r="E608" s="5" t="n">
        <v>451</v>
      </c>
      <c r="F608" s="5" t="inlineStr">
        <is>
          <t>مبنى العيادة تركيب وحدة انارة سبوت دائرى</t>
        </is>
      </c>
      <c r="G608" s="5" t="inlineStr">
        <is>
          <t>أعمال كهرباء 111</t>
        </is>
      </c>
      <c r="H608" s="5" t="inlineStr">
        <is>
          <t>وحدة انارة عبارة عن سبوت دائرى LED SPOT غاطس قطر 20 سم وبقدرة 12 وات ليد بدرجة حرارة لون 3000 كلفن و230 فولت و 60 هرتز كاملة بكافة مايلزم بدرجة حماية IP54</t>
        </is>
      </c>
      <c r="I608" s="11" t="inlineStr">
        <is>
          <t>نعم</t>
        </is>
      </c>
      <c r="J608" s="11" t="n">
        <v>2087</v>
      </c>
      <c r="K608" s="11" t="inlineStr">
        <is>
          <t>لا يوجد مرفقات</t>
        </is>
      </c>
      <c r="L608" s="11" t="inlineStr">
        <is>
          <t>عدد</t>
        </is>
      </c>
      <c r="M608" s="11" t="n">
        <v>4</v>
      </c>
      <c r="N608" s="22" t="n">
        <v>70</v>
      </c>
      <c r="O608" s="25">
        <f>N608*M608</f>
        <v/>
      </c>
      <c r="P608" s="23" t="n">
        <v>280</v>
      </c>
    </row>
    <row r="609" ht="87" customHeight="1">
      <c r="D609" s="5" t="n">
        <v>452</v>
      </c>
      <c r="E609" s="5" t="n">
        <v>452</v>
      </c>
      <c r="F609" s="5" t="inlineStr">
        <is>
          <t>مبنى العيادة تركيب مخرج حريق</t>
        </is>
      </c>
      <c r="G609" s="5" t="inlineStr">
        <is>
          <t>أعمال كهرباء 112</t>
        </is>
      </c>
      <c r="H609" s="5" t="inlineStr">
        <is>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is>
      </c>
      <c r="I609" s="11" t="inlineStr">
        <is>
          <t>لا</t>
        </is>
      </c>
      <c r="J609" s="11" t="n"/>
      <c r="K609" s="11" t="inlineStr">
        <is>
          <t>لا يوجد مرفقات</t>
        </is>
      </c>
      <c r="L609" s="11" t="inlineStr">
        <is>
          <t>عدد</t>
        </is>
      </c>
      <c r="M609" s="11" t="n">
        <v>4</v>
      </c>
      <c r="N609" s="22" t="n">
        <v>210</v>
      </c>
      <c r="O609" s="25">
        <f>N609*M609</f>
        <v/>
      </c>
      <c r="P609" s="23" t="n">
        <v>840</v>
      </c>
    </row>
    <row r="610">
      <c r="D610" s="5" t="n">
        <v>453</v>
      </c>
      <c r="E610" s="5" t="n">
        <v>453</v>
      </c>
      <c r="F610" s="5" t="inlineStr">
        <is>
          <t>مبنى العيادة تركيب كاشف انذار دخان</t>
        </is>
      </c>
      <c r="G610" s="5" t="inlineStr">
        <is>
          <t>أعمال كهرباء 113</t>
        </is>
      </c>
      <c r="H610" s="5" t="inlineStr">
        <is>
          <t>كاشف انذار دخان من النوع المعنون</t>
        </is>
      </c>
      <c r="I610" s="11" t="inlineStr">
        <is>
          <t>لا</t>
        </is>
      </c>
      <c r="J610" s="11" t="n"/>
      <c r="K610" s="11" t="inlineStr">
        <is>
          <t>لا يوجد مرفقات</t>
        </is>
      </c>
      <c r="L610" s="11" t="inlineStr">
        <is>
          <t>عدد</t>
        </is>
      </c>
      <c r="M610" s="11" t="n">
        <v>2</v>
      </c>
      <c r="N610" s="22" t="n">
        <v>350</v>
      </c>
      <c r="O610" s="25">
        <f>N610*M610</f>
        <v/>
      </c>
      <c r="P610" s="23" t="n">
        <v>700</v>
      </c>
    </row>
    <row r="611">
      <c r="D611" s="5" t="n">
        <v>454</v>
      </c>
      <c r="E611" s="5" t="n">
        <v>454</v>
      </c>
      <c r="F611" s="5" t="inlineStr">
        <is>
          <t>مبنى العيادة تركيب وحدة ادخال بيانات</t>
        </is>
      </c>
      <c r="G611" s="5" t="inlineStr">
        <is>
          <t>أعمال كهرباء 114</t>
        </is>
      </c>
      <c r="H611" s="5" t="inlineStr">
        <is>
          <t>مأخذ وحدة ادخال بيانات مركب على الحائط</t>
        </is>
      </c>
      <c r="I611" s="11" t="inlineStr">
        <is>
          <t>لا</t>
        </is>
      </c>
      <c r="J611" s="11" t="n"/>
      <c r="K611" s="11" t="inlineStr">
        <is>
          <t>لا يوجد مرفقات</t>
        </is>
      </c>
      <c r="L611" s="11" t="inlineStr">
        <is>
          <t>عدد</t>
        </is>
      </c>
      <c r="M611" s="11" t="n">
        <v>3</v>
      </c>
      <c r="N611" s="22" t="n">
        <v>350</v>
      </c>
      <c r="O611" s="25">
        <f>N611*M611</f>
        <v/>
      </c>
      <c r="P611" s="23" t="n">
        <v>1050</v>
      </c>
    </row>
    <row r="612">
      <c r="D612" s="5" t="n">
        <v>455</v>
      </c>
      <c r="E612" s="5" t="n">
        <v>455</v>
      </c>
      <c r="F612" s="5" t="inlineStr">
        <is>
          <t>مبنى العيادة تركيب وحدة تليفون</t>
        </is>
      </c>
      <c r="G612" s="5" t="inlineStr">
        <is>
          <t>أعمال كهرباء 115</t>
        </is>
      </c>
      <c r="H612" s="5" t="inlineStr">
        <is>
          <t>مأخذ وحدة تليفون مركب على الحائط</t>
        </is>
      </c>
      <c r="I612" s="11" t="inlineStr">
        <is>
          <t>لا</t>
        </is>
      </c>
      <c r="J612" s="11" t="n"/>
      <c r="K612" s="11" t="inlineStr">
        <is>
          <t>لا يوجد مرفقات</t>
        </is>
      </c>
      <c r="L612" s="11" t="inlineStr">
        <is>
          <t>عدد</t>
        </is>
      </c>
      <c r="M612" s="11" t="n">
        <v>3</v>
      </c>
      <c r="N612" s="22" t="n">
        <v>350</v>
      </c>
      <c r="O612" s="25">
        <f>N612*M612</f>
        <v/>
      </c>
      <c r="P612" s="23" t="n">
        <v>1050</v>
      </c>
    </row>
    <row r="613" ht="34.8" customHeight="1">
      <c r="D613" s="5" t="n">
        <v>456</v>
      </c>
      <c r="E613" s="5" t="n">
        <v>456</v>
      </c>
      <c r="F613" s="5" t="inlineStr">
        <is>
          <t>مبنى العيادة تركيب مخرج وحدة بيانات او تليفون</t>
        </is>
      </c>
      <c r="G613" s="5" t="inlineStr">
        <is>
          <t>أعمال كهرباء 116</t>
        </is>
      </c>
      <c r="H613" s="5" t="inlineStr">
        <is>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is>
      </c>
      <c r="I613" s="11" t="inlineStr">
        <is>
          <t>لا</t>
        </is>
      </c>
      <c r="J613" s="11" t="n"/>
      <c r="K613" s="11" t="inlineStr">
        <is>
          <t>لا يوجد مرفقات</t>
        </is>
      </c>
      <c r="L613" s="11" t="inlineStr">
        <is>
          <t>عدد</t>
        </is>
      </c>
      <c r="M613" s="11" t="n">
        <v>3</v>
      </c>
      <c r="N613" s="22" t="n">
        <v>350</v>
      </c>
      <c r="O613" s="25">
        <f>N613*M613</f>
        <v/>
      </c>
      <c r="P613" s="23" t="n">
        <v>1050</v>
      </c>
    </row>
    <row r="614">
      <c r="D614" s="4" t="inlineStr">
        <is>
          <t>الرقم التسلسلي</t>
        </is>
      </c>
      <c r="E614" s="4" t="inlineStr">
        <is>
          <t>الفئة</t>
        </is>
      </c>
      <c r="F614" s="4" t="inlineStr">
        <is>
          <t>البند</t>
        </is>
      </c>
      <c r="G614" s="4" t="inlineStr">
        <is>
          <t>وصف البند</t>
        </is>
      </c>
      <c r="H614" s="4" t="inlineStr">
        <is>
          <t>المواصفات</t>
        </is>
      </c>
      <c r="I614" s="9" t="inlineStr">
        <is>
          <t>منتج من القائمة الإلزامية</t>
        </is>
      </c>
      <c r="J614" s="9" t="inlineStr">
        <is>
          <t>الرمز الإنشائي</t>
        </is>
      </c>
      <c r="K614" s="9" t="inlineStr">
        <is>
          <t>مرفقات</t>
        </is>
      </c>
      <c r="L614" s="9" t="inlineStr">
        <is>
          <t>وحدة القياس</t>
        </is>
      </c>
      <c r="M614" s="9" t="inlineStr">
        <is>
          <t>الكمية</t>
        </is>
      </c>
      <c r="N614" s="20" t="inlineStr">
        <is>
          <t>سعر الوحدة</t>
        </is>
      </c>
      <c r="O614" s="20" t="inlineStr">
        <is>
          <t>الإجمالي</t>
        </is>
      </c>
      <c r="P614" s="13" t="n"/>
    </row>
    <row r="615">
      <c r="D615" s="21" t="n"/>
      <c r="E615" s="21" t="n"/>
      <c r="F615" s="21" t="n"/>
      <c r="G615" s="21" t="n"/>
      <c r="H615" s="21" t="n"/>
      <c r="I615" s="21" t="n"/>
      <c r="J615" s="21" t="n"/>
      <c r="K615" s="21" t="n"/>
      <c r="L615" s="21" t="n"/>
      <c r="M615" s="21" t="n"/>
      <c r="N615" s="21" t="n"/>
      <c r="O615" s="21" t="n"/>
      <c r="P615" s="13" t="n"/>
    </row>
    <row r="616" ht="69.59999999999999" customHeight="1">
      <c r="D616" s="5" t="n">
        <v>457</v>
      </c>
      <c r="E616" s="5" t="n">
        <v>457</v>
      </c>
      <c r="F616" s="5" t="inlineStr">
        <is>
          <t>مخزن الاعلاف تركيب لوحة توزيع 1</t>
        </is>
      </c>
      <c r="G616" s="5" t="inlineStr">
        <is>
          <t>أعمال كهرباء 117</t>
        </is>
      </c>
      <c r="H616" s="5" t="inlineStr">
        <is>
          <t>DB-WA1بالعدد توريد وتركيب وإختبار لوحات توزيع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is>
      </c>
      <c r="I616" s="11" t="inlineStr">
        <is>
          <t>نعم</t>
        </is>
      </c>
      <c r="J616" s="11" t="n">
        <v>2084</v>
      </c>
      <c r="K616" s="11" t="inlineStr">
        <is>
          <t>لا يوجد مرفقات</t>
        </is>
      </c>
      <c r="L616" s="11" t="inlineStr">
        <is>
          <t>عدد</t>
        </is>
      </c>
      <c r="M616" s="11" t="n">
        <v>2</v>
      </c>
      <c r="N616" s="22" t="n">
        <v>8400</v>
      </c>
      <c r="O616" s="25">
        <f>N616*M616</f>
        <v/>
      </c>
      <c r="P616" s="23" t="n">
        <v>16800</v>
      </c>
    </row>
    <row r="617">
      <c r="D617" s="5" t="n">
        <v>458</v>
      </c>
      <c r="E617" s="5" t="n">
        <v>458</v>
      </c>
      <c r="F617" s="5" t="inlineStr">
        <is>
          <t>مخزن الاعلاف تركيب لوحة توزيع 2</t>
        </is>
      </c>
      <c r="G617" s="5" t="inlineStr">
        <is>
          <t>أعمال كهرباء 118</t>
        </is>
      </c>
      <c r="H617" s="5" t="inlineStr">
        <is>
          <t>DB-WA2</t>
        </is>
      </c>
      <c r="I617" s="11" t="inlineStr">
        <is>
          <t>نعم</t>
        </is>
      </c>
      <c r="J617" s="11" t="n">
        <v>2084</v>
      </c>
      <c r="K617" s="11" t="inlineStr">
        <is>
          <t>لا يوجد مرفقات</t>
        </is>
      </c>
      <c r="L617" s="11" t="inlineStr">
        <is>
          <t>عدد</t>
        </is>
      </c>
      <c r="M617" s="11" t="n">
        <v>2</v>
      </c>
      <c r="N617" s="22" t="n">
        <v>8400</v>
      </c>
      <c r="O617" s="25">
        <f>N617*M617</f>
        <v/>
      </c>
      <c r="P617" s="23" t="n">
        <v>16800</v>
      </c>
    </row>
    <row r="618">
      <c r="D618" s="5" t="n">
        <v>459</v>
      </c>
      <c r="E618" s="5" t="n">
        <v>459</v>
      </c>
      <c r="F618" s="5" t="inlineStr">
        <is>
          <t>مخزن الاعلاف تركيب مقبس احادي الطور</t>
        </is>
      </c>
      <c r="G618" s="5" t="inlineStr">
        <is>
          <t>أعمال كهرباء 119</t>
        </is>
      </c>
      <c r="H618" s="5" t="inlineStr">
        <is>
          <t>مقبس احادي الطور(1P+N+E) احادي 20 امبير من النوع المقاوم للماء WATER PROOF بدرجة حماية IP=54 (قوى) بأسلاك 3*4 مم2 نحاس</t>
        </is>
      </c>
      <c r="I618" s="11" t="inlineStr">
        <is>
          <t>نعم</t>
        </is>
      </c>
      <c r="J618" s="11" t="n">
        <v>2088</v>
      </c>
      <c r="K618" s="11" t="inlineStr">
        <is>
          <t>لا يوجد مرفقات</t>
        </is>
      </c>
      <c r="L618" s="11" t="inlineStr">
        <is>
          <t>عدد</t>
        </is>
      </c>
      <c r="M618" s="11" t="n">
        <v>74</v>
      </c>
      <c r="N618" s="22" t="n">
        <v>140</v>
      </c>
      <c r="O618" s="25">
        <f>N618*M618</f>
        <v/>
      </c>
      <c r="P618" s="23" t="n">
        <v>10360</v>
      </c>
    </row>
    <row r="619">
      <c r="D619" s="5" t="n">
        <v>460</v>
      </c>
      <c r="E619" s="5" t="n">
        <v>460</v>
      </c>
      <c r="F619" s="5" t="inlineStr">
        <is>
          <t>مخزن الاعلاف تركيب مفتاح فصل وتشغيل</t>
        </is>
      </c>
      <c r="G619" s="5" t="inlineStr">
        <is>
          <t>أعمال كهرباء 120</t>
        </is>
      </c>
      <c r="H619" s="5" t="inlineStr">
        <is>
          <t>مفتاح فصل وتشغيل (3P+N+E) 20أمبير - 400 فولت من النوع المضاد للمياه IP54 لزوم وحدات التكيف من المفتاح الى اللوحة ومن المفتاح الى وحده التكيف والمفتاح مزود بلمبة بيان</t>
        </is>
      </c>
      <c r="I619" s="11" t="inlineStr">
        <is>
          <t>نعم</t>
        </is>
      </c>
      <c r="J619" s="11" t="n">
        <v>2088</v>
      </c>
      <c r="K619" s="11" t="inlineStr">
        <is>
          <t>لا يوجد مرفقات</t>
        </is>
      </c>
      <c r="L619" s="11" t="inlineStr">
        <is>
          <t>عدد</t>
        </is>
      </c>
      <c r="M619" s="11" t="n">
        <v>22</v>
      </c>
      <c r="N619" s="22" t="n">
        <v>140</v>
      </c>
      <c r="O619" s="25">
        <f>N619*M619</f>
        <v/>
      </c>
      <c r="P619" s="23" t="n">
        <v>3080</v>
      </c>
    </row>
    <row r="620">
      <c r="D620" s="5" t="n">
        <v>461</v>
      </c>
      <c r="E620" s="5" t="n">
        <v>461</v>
      </c>
      <c r="F620" s="5" t="inlineStr">
        <is>
          <t>مخزن الاعلاف تركيب مفتاح اتجاه واحد</t>
        </is>
      </c>
      <c r="G620" s="5" t="inlineStr">
        <is>
          <t>أعمال كهرباء 121</t>
        </is>
      </c>
      <c r="H620" s="5" t="inlineStr">
        <is>
          <t>مفتاح اتجاه واحد بعدد 2 لقمة 10 أمبير ,230 فولت من النوع المقاوم للعوامل الجوية IP=54 WATER PROOF</t>
        </is>
      </c>
      <c r="I620" s="11" t="inlineStr">
        <is>
          <t>نعم</t>
        </is>
      </c>
      <c r="J620" s="11" t="n">
        <v>2085</v>
      </c>
      <c r="K620" s="11" t="inlineStr">
        <is>
          <t>لا يوجد مرفقات</t>
        </is>
      </c>
      <c r="L620" s="11" t="inlineStr">
        <is>
          <t>عدد</t>
        </is>
      </c>
      <c r="M620" s="11" t="n">
        <v>16</v>
      </c>
      <c r="N620" s="22" t="n">
        <v>140</v>
      </c>
      <c r="O620" s="25">
        <f>N620*M620</f>
        <v/>
      </c>
      <c r="P620" s="23" t="n">
        <v>2240</v>
      </c>
    </row>
    <row r="621" ht="52.2" customHeight="1">
      <c r="D621" s="5" t="n">
        <v>462</v>
      </c>
      <c r="E621" s="5" t="n">
        <v>462</v>
      </c>
      <c r="F621" s="5" t="inlineStr">
        <is>
          <t>مخزن الاعلاف تركيب مخارج الانارة</t>
        </is>
      </c>
      <c r="G621" s="5" t="inlineStr">
        <is>
          <t>أعمال كهرباء 122</t>
        </is>
      </c>
      <c r="H621" s="5" t="inlineStr">
        <is>
          <t>بالعدد توريد وتركيب وتوصيل واختبار وتشغيل مخارج الانارة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is>
      </c>
      <c r="I621" s="11" t="inlineStr">
        <is>
          <t>نعم</t>
        </is>
      </c>
      <c r="J621" s="11" t="n">
        <v>2088</v>
      </c>
      <c r="K621" s="11" t="inlineStr">
        <is>
          <t>لا يوجد مرفقات</t>
        </is>
      </c>
      <c r="L621" s="11" t="inlineStr">
        <is>
          <t>عدد</t>
        </is>
      </c>
      <c r="M621" s="11" t="n">
        <v>68</v>
      </c>
      <c r="N621" s="22" t="n">
        <v>70</v>
      </c>
      <c r="O621" s="25">
        <f>N621*M621</f>
        <v/>
      </c>
      <c r="P621" s="23" t="n">
        <v>4760</v>
      </c>
    </row>
    <row r="622">
      <c r="D622" s="4" t="inlineStr">
        <is>
          <t>الرقم التسلسلي</t>
        </is>
      </c>
      <c r="E622" s="4" t="inlineStr">
        <is>
          <t>الفئة</t>
        </is>
      </c>
      <c r="F622" s="4" t="inlineStr">
        <is>
          <t>البند</t>
        </is>
      </c>
      <c r="G622" s="4" t="inlineStr">
        <is>
          <t>وصف البند</t>
        </is>
      </c>
      <c r="H622" s="4" t="inlineStr">
        <is>
          <t>المواصفات</t>
        </is>
      </c>
      <c r="I622" s="9" t="inlineStr">
        <is>
          <t>منتج من القائمة الإلزامية</t>
        </is>
      </c>
      <c r="J622" s="9" t="inlineStr">
        <is>
          <t>الرمز الإنشائي</t>
        </is>
      </c>
      <c r="K622" s="9" t="inlineStr">
        <is>
          <t>مرفقات</t>
        </is>
      </c>
      <c r="L622" s="9" t="inlineStr">
        <is>
          <t>وحدة القياس</t>
        </is>
      </c>
      <c r="M622" s="9" t="inlineStr">
        <is>
          <t>الكمية</t>
        </is>
      </c>
      <c r="N622" s="20" t="inlineStr">
        <is>
          <t>سعر الوحدة</t>
        </is>
      </c>
      <c r="O622" s="20" t="inlineStr">
        <is>
          <t>الإجمالي</t>
        </is>
      </c>
      <c r="P622" s="13" t="n"/>
    </row>
    <row r="623">
      <c r="D623" s="21" t="n"/>
      <c r="E623" s="21" t="n"/>
      <c r="F623" s="21" t="n"/>
      <c r="G623" s="21" t="n"/>
      <c r="H623" s="21" t="n"/>
      <c r="I623" s="21" t="n"/>
      <c r="J623" s="21" t="n"/>
      <c r="K623" s="21" t="n"/>
      <c r="L623" s="21" t="n"/>
      <c r="M623" s="21" t="n"/>
      <c r="N623" s="21" t="n"/>
      <c r="O623" s="21" t="n"/>
      <c r="P623" s="13" t="n"/>
    </row>
    <row r="624">
      <c r="D624" s="5" t="n">
        <v>463</v>
      </c>
      <c r="E624" s="5" t="n">
        <v>463</v>
      </c>
      <c r="F624" s="5" t="inlineStr">
        <is>
          <t>مخزن الاعلاف تركيب كشاف ليد</t>
        </is>
      </c>
      <c r="G624" s="5" t="inlineStr">
        <is>
          <t>أعمال كهرباء 123</t>
        </is>
      </c>
      <c r="H624" s="5" t="inlineStr">
        <is>
          <t>كشاف ليد(hay bay)95 وات 220و فولت و 60 هرتز للتركيب بارز بالسقف او الحائط وغطاء بريزماتيك وبدرجة حرارة لون لاتقل عن 4000 كلفن وبدرجة حماية IP=54</t>
        </is>
      </c>
      <c r="I624" s="11" t="inlineStr">
        <is>
          <t>نعم</t>
        </is>
      </c>
      <c r="J624" s="11" t="n">
        <v>2087</v>
      </c>
      <c r="K624" s="11" t="inlineStr">
        <is>
          <t>لا يوجد مرفقات</t>
        </is>
      </c>
      <c r="L624" s="11" t="inlineStr">
        <is>
          <t>عدد</t>
        </is>
      </c>
      <c r="M624" s="11" t="n">
        <v>68</v>
      </c>
      <c r="N624" s="22" t="n">
        <v>300</v>
      </c>
      <c r="O624" s="25">
        <f>N624*M624</f>
        <v/>
      </c>
      <c r="P624" s="23" t="n">
        <v>20400</v>
      </c>
    </row>
    <row r="625" ht="87" customHeight="1">
      <c r="D625" s="5" t="n">
        <v>464</v>
      </c>
      <c r="E625" s="5" t="n">
        <v>464</v>
      </c>
      <c r="F625" s="5" t="inlineStr">
        <is>
          <t>مخزن الاعلاف تركيب مخرج حريق</t>
        </is>
      </c>
      <c r="G625" s="5" t="inlineStr">
        <is>
          <t>أعمال كهرباء 124</t>
        </is>
      </c>
      <c r="H625" s="5" t="inlineStr">
        <is>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is>
      </c>
      <c r="I625" s="11" t="inlineStr">
        <is>
          <t>لا</t>
        </is>
      </c>
      <c r="J625" s="11" t="n"/>
      <c r="K625" s="11" t="inlineStr">
        <is>
          <t>لا يوجد مرفقات</t>
        </is>
      </c>
      <c r="L625" s="11" t="inlineStr">
        <is>
          <t>عدد</t>
        </is>
      </c>
      <c r="M625" s="11" t="n">
        <v>18</v>
      </c>
      <c r="N625" s="22" t="n">
        <v>225</v>
      </c>
      <c r="O625" s="25">
        <f>N625*M625</f>
        <v/>
      </c>
      <c r="P625" s="23" t="n">
        <v>4050</v>
      </c>
    </row>
    <row r="626">
      <c r="D626" s="5" t="n">
        <v>465</v>
      </c>
      <c r="E626" s="5" t="n">
        <v>465</v>
      </c>
      <c r="F626" s="5" t="inlineStr">
        <is>
          <t>مخزن الاعلاف تركيب كاسر زجاجى</t>
        </is>
      </c>
      <c r="G626" s="5" t="inlineStr">
        <is>
          <t>أعمال كهرباء 125</t>
        </is>
      </c>
      <c r="H626" s="5" t="inlineStr">
        <is>
          <t>وحدة كاسر زجاجى من النوع المقاوم للعوامل الجوية</t>
        </is>
      </c>
      <c r="I626" s="11" t="inlineStr">
        <is>
          <t>لا</t>
        </is>
      </c>
      <c r="J626" s="11" t="n"/>
      <c r="K626" s="11" t="inlineStr">
        <is>
          <t>لا يوجد مرفقات</t>
        </is>
      </c>
      <c r="L626" s="11" t="inlineStr">
        <is>
          <t>عدد</t>
        </is>
      </c>
      <c r="M626" s="11" t="n">
        <v>6</v>
      </c>
      <c r="N626" s="22" t="n">
        <v>375</v>
      </c>
      <c r="O626" s="25">
        <f>N626*M626</f>
        <v/>
      </c>
      <c r="P626" s="23" t="n">
        <v>2250</v>
      </c>
    </row>
    <row r="627">
      <c r="D627" s="5" t="n">
        <v>466</v>
      </c>
      <c r="E627" s="5" t="n">
        <v>466</v>
      </c>
      <c r="F627" s="5" t="inlineStr">
        <is>
          <t>مخزن الاعلاف تركيب جرس إنذار</t>
        </is>
      </c>
      <c r="G627" s="5" t="inlineStr">
        <is>
          <t>أعمال كهرباء 126</t>
        </is>
      </c>
      <c r="H627" s="5" t="inlineStr">
        <is>
          <t>جرس إنذار من النوع المقاوم للعوامل الجوية</t>
        </is>
      </c>
      <c r="I627" s="11" t="inlineStr">
        <is>
          <t>لا</t>
        </is>
      </c>
      <c r="J627" s="11" t="n"/>
      <c r="K627" s="11" t="inlineStr">
        <is>
          <t>لا يوجد مرفقات</t>
        </is>
      </c>
      <c r="L627" s="11" t="inlineStr">
        <is>
          <t>عدد</t>
        </is>
      </c>
      <c r="M627" s="11" t="n">
        <v>6</v>
      </c>
      <c r="N627" s="22" t="n">
        <v>375</v>
      </c>
      <c r="O627" s="25">
        <f>N627*M627</f>
        <v/>
      </c>
      <c r="P627" s="23" t="n">
        <v>2250</v>
      </c>
    </row>
    <row r="628">
      <c r="D628" s="5" t="n">
        <v>467</v>
      </c>
      <c r="E628" s="5" t="n">
        <v>467</v>
      </c>
      <c r="F628" s="5" t="inlineStr">
        <is>
          <t>مخزن الأعلاف تركيب كاشف اشعاعي</t>
        </is>
      </c>
      <c r="G628" s="5" t="inlineStr">
        <is>
          <t>أعمال كهرباء 127</t>
        </is>
      </c>
      <c r="H628" s="5" t="inlineStr">
        <is>
          <t>كاشف اشعاعي (beam detector)</t>
        </is>
      </c>
      <c r="I628" s="11" t="inlineStr">
        <is>
          <t>لا</t>
        </is>
      </c>
      <c r="J628" s="11" t="n"/>
      <c r="K628" s="11" t="inlineStr">
        <is>
          <t>لا يوجد مرفقات</t>
        </is>
      </c>
      <c r="L628" s="11" t="inlineStr">
        <is>
          <t>عدد</t>
        </is>
      </c>
      <c r="M628" s="11" t="n">
        <v>6</v>
      </c>
      <c r="N628" s="22" t="n">
        <v>2250</v>
      </c>
      <c r="O628" s="25">
        <f>N628*M628</f>
        <v/>
      </c>
      <c r="P628" s="23" t="n">
        <v>13500</v>
      </c>
    </row>
    <row r="629" ht="34.8" customHeight="1">
      <c r="D629" s="5" t="n">
        <v>468</v>
      </c>
      <c r="E629" s="5" t="n">
        <v>468</v>
      </c>
      <c r="F629" s="5" t="inlineStr">
        <is>
          <t>شاشة ملونة</t>
        </is>
      </c>
      <c r="G629" s="5" t="inlineStr">
        <is>
          <t>أعمال كهرباء 128</t>
        </is>
      </c>
      <c r="H629" s="5" t="inlineStr">
        <is>
          <t>توريد وتركيب وتوصيل وتشغيل تجريبي واختبار شاشة عرض من نوع LED مقاس 55 بوصة وتشمل الحامل الخاص بالتعليق على الجدار وتتوافق مع نظام الكاميرات وتكون من أجود الماركات وعمل كل مايلزم لإنهاء العمل طبقاً للمواصفات الفنية وحسب أصول الصناعة وتعليمات المهندس المشرف</t>
        </is>
      </c>
      <c r="I629" s="11" t="inlineStr">
        <is>
          <t>لا</t>
        </is>
      </c>
      <c r="J629" s="11" t="n"/>
      <c r="K629" s="11" t="inlineStr">
        <is>
          <t>لا يوجد مرفقات</t>
        </is>
      </c>
      <c r="L629" s="11" t="inlineStr">
        <is>
          <t>عدد</t>
        </is>
      </c>
      <c r="M629" s="11" t="n">
        <v>1</v>
      </c>
      <c r="N629" s="22" t="n">
        <v>6750</v>
      </c>
      <c r="O629" s="25">
        <f>N629*M629</f>
        <v/>
      </c>
      <c r="P629" s="23" t="n">
        <v>6750</v>
      </c>
    </row>
    <row r="630">
      <c r="D630" s="4" t="inlineStr">
        <is>
          <t>الرقم التسلسلي</t>
        </is>
      </c>
      <c r="E630" s="4" t="inlineStr">
        <is>
          <t>الفئة</t>
        </is>
      </c>
      <c r="F630" s="4" t="inlineStr">
        <is>
          <t>البند</t>
        </is>
      </c>
      <c r="G630" s="4" t="inlineStr">
        <is>
          <t>وصف البند</t>
        </is>
      </c>
      <c r="H630" s="4" t="inlineStr">
        <is>
          <t>المواصفات</t>
        </is>
      </c>
      <c r="I630" s="9" t="inlineStr">
        <is>
          <t>منتج من القائمة الإلزامية</t>
        </is>
      </c>
      <c r="J630" s="9" t="inlineStr">
        <is>
          <t>الرمز الإنشائي</t>
        </is>
      </c>
      <c r="K630" s="9" t="inlineStr">
        <is>
          <t>مرفقات</t>
        </is>
      </c>
      <c r="L630" s="9" t="inlineStr">
        <is>
          <t>وحدة القياس</t>
        </is>
      </c>
      <c r="M630" s="9" t="inlineStr">
        <is>
          <t>الكمية</t>
        </is>
      </c>
      <c r="N630" s="20" t="inlineStr">
        <is>
          <t>سعر الوحدة</t>
        </is>
      </c>
      <c r="O630" s="20" t="inlineStr">
        <is>
          <t>الإجمالي</t>
        </is>
      </c>
      <c r="P630" s="13" t="n"/>
    </row>
    <row r="631">
      <c r="D631" s="21" t="n"/>
      <c r="E631" s="21" t="n"/>
      <c r="F631" s="21" t="n"/>
      <c r="G631" s="21" t="n"/>
      <c r="H631" s="21" t="n"/>
      <c r="I631" s="21" t="n"/>
      <c r="J631" s="21" t="n"/>
      <c r="K631" s="21" t="n"/>
      <c r="L631" s="21" t="n"/>
      <c r="M631" s="21" t="n"/>
      <c r="N631" s="21" t="n"/>
      <c r="O631" s="21" t="n"/>
      <c r="P631" s="13" t="n"/>
    </row>
    <row r="632" ht="69.59999999999999" customHeight="1">
      <c r="D632" s="5" t="n">
        <v>469</v>
      </c>
      <c r="E632" s="5" t="n">
        <v>469</v>
      </c>
      <c r="F632" s="5" t="inlineStr">
        <is>
          <t>مسجل فيديو للشبكة</t>
        </is>
      </c>
      <c r="G632" s="5" t="inlineStr">
        <is>
          <t>أعمال كهرباء 129</t>
        </is>
      </c>
      <c r="H632" s="5" t="inlineStr">
        <is>
          <t>توريد وتركيب وتوصيل وبرمجة واختبار وحدة تسجیل الفیدیو طراز NVR 16 CHANNEL لتشغيل ودعم عدد ( 10 ) كاميرا ويحتوي على 3 مخارج رؤية - VGA – Display Port - HDMI ومزود بمقسم للصورة ومبدل بنظام انضغاطي ومدخل تسلسلي 4 منافذ شبكة شاملا وحدة التثبيت وبمدي تسجيل لا يقل عن 50 يوم والجهاز كامل بمحطة العمل والقرص الصلب بسعة مناسبة مع امكانية التوسعة بإضافة اعداد من الاقراص الصلبة و يدعم نظام RAID 5 ومعالج البيانات ( Intel Core i7 Processors ) او الاحدث منة , و نظام احتياطي للتغذية الكهرباء ( وحدة UPS ) للعمل 120 دقيقة وناسخ الاقراص وأجهزة الإنذار ومداخل ومخارج الصوت وجميع ما يلزم من اكسسوارات واعمال اخرى</t>
        </is>
      </c>
      <c r="I632" s="11" t="inlineStr">
        <is>
          <t>لا</t>
        </is>
      </c>
      <c r="J632" s="11" t="n"/>
      <c r="K632" s="11" t="inlineStr">
        <is>
          <t>لا يوجد مرفقات</t>
        </is>
      </c>
      <c r="L632" s="11" t="inlineStr">
        <is>
          <t>عدد</t>
        </is>
      </c>
      <c r="M632" s="11" t="n">
        <v>1</v>
      </c>
      <c r="N632" s="22" t="n">
        <v>48750</v>
      </c>
      <c r="O632" s="25">
        <f>N632*M632</f>
        <v/>
      </c>
      <c r="P632" s="23" t="n">
        <v>48750</v>
      </c>
    </row>
    <row r="633" ht="56.55" customHeight="1">
      <c r="O633" s="25">
        <f>SUM(O8:O632)</f>
        <v/>
      </c>
    </row>
    <row r="634">
      <c r="O634" s="26">
        <f>O633+O633*15%</f>
        <v/>
      </c>
    </row>
    <row r="635">
      <c r="O635" s="26">
        <f>N635*M635</f>
        <v/>
      </c>
    </row>
    <row r="636">
      <c r="O636" s="26">
        <f>N636*M636</f>
        <v/>
      </c>
    </row>
    <row r="638">
      <c r="A638" s="27" t="inlineStr">
        <is>
          <t>الإجمالي الكلي</t>
        </is>
      </c>
      <c r="P638" s="28" t="n">
        <v>11130435</v>
      </c>
    </row>
  </sheetData>
  <autoFilter ref="D6:N636"/>
  <mergeCells count="949">
    <mergeCell ref="E558:E559"/>
    <mergeCell ref="N22:N23"/>
    <mergeCell ref="I566:I567"/>
    <mergeCell ref="F198:F199"/>
    <mergeCell ref="J358:J359"/>
    <mergeCell ref="K566:K567"/>
    <mergeCell ref="M446:M447"/>
    <mergeCell ref="O590:O591"/>
    <mergeCell ref="O446:O447"/>
    <mergeCell ref="E622:E623"/>
    <mergeCell ref="H102:H103"/>
    <mergeCell ref="J102:J103"/>
    <mergeCell ref="G622:G623"/>
    <mergeCell ref="M54:M55"/>
    <mergeCell ref="E470:E471"/>
    <mergeCell ref="O54:O55"/>
    <mergeCell ref="L422:L423"/>
    <mergeCell ref="D254:D255"/>
    <mergeCell ref="O510:O511"/>
    <mergeCell ref="J166:J167"/>
    <mergeCell ref="E534:E535"/>
    <mergeCell ref="L166:L167"/>
    <mergeCell ref="M398:M399"/>
    <mergeCell ref="D598:D599"/>
    <mergeCell ref="F318:F319"/>
    <mergeCell ref="M390:M391"/>
    <mergeCell ref="N182:N183"/>
    <mergeCell ref="O214:O215"/>
    <mergeCell ref="M606:M607"/>
    <mergeCell ref="D62:D63"/>
    <mergeCell ref="F262:F263"/>
    <mergeCell ref="F62:F63"/>
    <mergeCell ref="G294:G295"/>
    <mergeCell ref="I294:I295"/>
    <mergeCell ref="K350:K351"/>
    <mergeCell ref="N582:N583"/>
    <mergeCell ref="M350:M351"/>
    <mergeCell ref="I358:I359"/>
    <mergeCell ref="K358:K359"/>
    <mergeCell ref="E390:E391"/>
    <mergeCell ref="F278:F279"/>
    <mergeCell ref="M414:M415"/>
    <mergeCell ref="G246:G247"/>
    <mergeCell ref="O414:O415"/>
    <mergeCell ref="H30:H31"/>
    <mergeCell ref="K118:K119"/>
    <mergeCell ref="E454:E455"/>
    <mergeCell ref="E254:E255"/>
    <mergeCell ref="F486:F487"/>
    <mergeCell ref="G454:G455"/>
    <mergeCell ref="H486:H487"/>
    <mergeCell ref="M118:M119"/>
    <mergeCell ref="N206:N207"/>
    <mergeCell ref="J542:J543"/>
    <mergeCell ref="E406:E407"/>
    <mergeCell ref="L542:L543"/>
    <mergeCell ref="O342:O343"/>
    <mergeCell ref="K182:K183"/>
    <mergeCell ref="E14:E15"/>
    <mergeCell ref="G518:G519"/>
    <mergeCell ref="G70:G71"/>
    <mergeCell ref="J606:J607"/>
    <mergeCell ref="I70:I71"/>
    <mergeCell ref="D438:D439"/>
    <mergeCell ref="L606:L607"/>
    <mergeCell ref="F438:F439"/>
    <mergeCell ref="G470:G471"/>
    <mergeCell ref="N606:N607"/>
    <mergeCell ref="E78:E79"/>
    <mergeCell ref="H310:H311"/>
    <mergeCell ref="G78:G79"/>
    <mergeCell ref="J310:J311"/>
    <mergeCell ref="I134:I135"/>
    <mergeCell ref="L310:L311"/>
    <mergeCell ref="K134:K135"/>
    <mergeCell ref="G534:G535"/>
    <mergeCell ref="L214:L215"/>
    <mergeCell ref="I534:I535"/>
    <mergeCell ref="E38:E39"/>
    <mergeCell ref="D206:D207"/>
    <mergeCell ref="N430:N431"/>
    <mergeCell ref="I494:I495"/>
    <mergeCell ref="H262:H263"/>
    <mergeCell ref="K46:K47"/>
    <mergeCell ref="F110:F111"/>
    <mergeCell ref="K494:K495"/>
    <mergeCell ref="N278:N279"/>
    <mergeCell ref="E630:E631"/>
    <mergeCell ref="E46:E47"/>
    <mergeCell ref="H110:H111"/>
    <mergeCell ref="O502:O503"/>
    <mergeCell ref="O62:O63"/>
    <mergeCell ref="I542:I543"/>
    <mergeCell ref="H326:H327"/>
    <mergeCell ref="K558:K559"/>
    <mergeCell ref="J326:J327"/>
    <mergeCell ref="H174:H175"/>
    <mergeCell ref="M558:M559"/>
    <mergeCell ref="K406:K407"/>
    <mergeCell ref="J174:J175"/>
    <mergeCell ref="K582:K583"/>
    <mergeCell ref="M406:M407"/>
    <mergeCell ref="L230:L231"/>
    <mergeCell ref="O462:O463"/>
    <mergeCell ref="D230:D231"/>
    <mergeCell ref="N230:N231"/>
    <mergeCell ref="F230:F231"/>
    <mergeCell ref="O70:O71"/>
    <mergeCell ref="J238:J239"/>
    <mergeCell ref="E302:E303"/>
    <mergeCell ref="L238:L239"/>
    <mergeCell ref="M470:M471"/>
    <mergeCell ref="G302:G303"/>
    <mergeCell ref="O470:O471"/>
    <mergeCell ref="E198:E199"/>
    <mergeCell ref="G198:G199"/>
    <mergeCell ref="D622:D623"/>
    <mergeCell ref="I518:I519"/>
    <mergeCell ref="G366:G367"/>
    <mergeCell ref="N198:N199"/>
    <mergeCell ref="J598:J599"/>
    <mergeCell ref="I366:I367"/>
    <mergeCell ref="I422:I423"/>
    <mergeCell ref="E262:E263"/>
    <mergeCell ref="F54:F55"/>
    <mergeCell ref="K422:K423"/>
    <mergeCell ref="G262:G263"/>
    <mergeCell ref="H54:H55"/>
    <mergeCell ref="L598:L599"/>
    <mergeCell ref="M422:M423"/>
    <mergeCell ref="N510:N511"/>
    <mergeCell ref="L62:L63"/>
    <mergeCell ref="G126:G127"/>
    <mergeCell ref="O294:O295"/>
    <mergeCell ref="I126:I127"/>
    <mergeCell ref="K126:K127"/>
    <mergeCell ref="E318:E319"/>
    <mergeCell ref="M182:M183"/>
    <mergeCell ref="H550:H551"/>
    <mergeCell ref="D390:D391"/>
    <mergeCell ref="N214:N215"/>
    <mergeCell ref="J550:J551"/>
    <mergeCell ref="F390:F391"/>
    <mergeCell ref="G38:G39"/>
    <mergeCell ref="I190:I191"/>
    <mergeCell ref="K190:K191"/>
    <mergeCell ref="M246:M247"/>
    <mergeCell ref="M46:M47"/>
    <mergeCell ref="H614:H615"/>
    <mergeCell ref="O246:O247"/>
    <mergeCell ref="J614:J615"/>
    <mergeCell ref="D446:D447"/>
    <mergeCell ref="F302:F303"/>
    <mergeCell ref="H358:H359"/>
    <mergeCell ref="E86:E87"/>
    <mergeCell ref="F494:F495"/>
    <mergeCell ref="G142:G143"/>
    <mergeCell ref="J374:J375"/>
    <mergeCell ref="I142:I143"/>
    <mergeCell ref="D510:D511"/>
    <mergeCell ref="L374:L375"/>
    <mergeCell ref="E30:E31"/>
    <mergeCell ref="G30:G31"/>
    <mergeCell ref="M14:M15"/>
    <mergeCell ref="J118:J119"/>
    <mergeCell ref="J422:J423"/>
    <mergeCell ref="D454:D455"/>
    <mergeCell ref="G486:G487"/>
    <mergeCell ref="I486:I487"/>
    <mergeCell ref="L438:L439"/>
    <mergeCell ref="F270:F271"/>
    <mergeCell ref="N438:N439"/>
    <mergeCell ref="G94:G95"/>
    <mergeCell ref="I94:I95"/>
    <mergeCell ref="D462:D463"/>
    <mergeCell ref="D14:D15"/>
    <mergeCell ref="D318:D319"/>
    <mergeCell ref="F518:F519"/>
    <mergeCell ref="F14:F15"/>
    <mergeCell ref="G550:G551"/>
    <mergeCell ref="I550:I551"/>
    <mergeCell ref="L182:L183"/>
    <mergeCell ref="K606:K607"/>
    <mergeCell ref="H334:H335"/>
    <mergeCell ref="D222:D223"/>
    <mergeCell ref="M622:M623"/>
    <mergeCell ref="M38:M39"/>
    <mergeCell ref="F222:F223"/>
    <mergeCell ref="O622:O623"/>
    <mergeCell ref="F78:F79"/>
    <mergeCell ref="O38:O39"/>
    <mergeCell ref="I310:I311"/>
    <mergeCell ref="H78:H79"/>
    <mergeCell ref="H134:H135"/>
    <mergeCell ref="K310:K311"/>
    <mergeCell ref="N110:N111"/>
    <mergeCell ref="F142:F143"/>
    <mergeCell ref="H142:H143"/>
    <mergeCell ref="O534:O535"/>
    <mergeCell ref="K374:K375"/>
    <mergeCell ref="E206:E207"/>
    <mergeCell ref="M430:M431"/>
    <mergeCell ref="O430:O431"/>
    <mergeCell ref="H6:H7"/>
    <mergeCell ref="J6:J7"/>
    <mergeCell ref="D630:D631"/>
    <mergeCell ref="D46:D47"/>
    <mergeCell ref="L494:L495"/>
    <mergeCell ref="N62:N63"/>
    <mergeCell ref="E270:E271"/>
    <mergeCell ref="H502:H503"/>
    <mergeCell ref="G326:G327"/>
    <mergeCell ref="I326:I327"/>
    <mergeCell ref="G174:G175"/>
    <mergeCell ref="L558:L559"/>
    <mergeCell ref="N558:N559"/>
    <mergeCell ref="O302:O303"/>
    <mergeCell ref="D398:D399"/>
    <mergeCell ref="L622:L623"/>
    <mergeCell ref="F454:F455"/>
    <mergeCell ref="I238:I239"/>
    <mergeCell ref="L470:L471"/>
    <mergeCell ref="N622:N623"/>
    <mergeCell ref="H302:H303"/>
    <mergeCell ref="K254:K255"/>
    <mergeCell ref="L462:L463"/>
    <mergeCell ref="M254:M255"/>
    <mergeCell ref="H518:H519"/>
    <mergeCell ref="E334:E335"/>
    <mergeCell ref="F366:F367"/>
    <mergeCell ref="N534:N535"/>
    <mergeCell ref="E582:E583"/>
    <mergeCell ref="H366:H367"/>
    <mergeCell ref="K598:K599"/>
    <mergeCell ref="M318:M319"/>
    <mergeCell ref="G54:G55"/>
    <mergeCell ref="O14:O15"/>
    <mergeCell ref="O318:O319"/>
    <mergeCell ref="K206:K207"/>
    <mergeCell ref="K590:K591"/>
    <mergeCell ref="K62:K63"/>
    <mergeCell ref="M62:M63"/>
    <mergeCell ref="H126:H127"/>
    <mergeCell ref="J126:J127"/>
    <mergeCell ref="O78:O79"/>
    <mergeCell ref="E102:E103"/>
    <mergeCell ref="G102:G103"/>
    <mergeCell ref="O326:O327"/>
    <mergeCell ref="G158:G159"/>
    <mergeCell ref="J190:J191"/>
    <mergeCell ref="I158:I159"/>
    <mergeCell ref="L390:L391"/>
    <mergeCell ref="L190:L191"/>
    <mergeCell ref="L246:L247"/>
    <mergeCell ref="K158:K159"/>
    <mergeCell ref="D526:D527"/>
    <mergeCell ref="N246:N247"/>
    <mergeCell ref="D22:D23"/>
    <mergeCell ref="I614:I615"/>
    <mergeCell ref="K614:K615"/>
    <mergeCell ref="J254:J255"/>
    <mergeCell ref="D86:D87"/>
    <mergeCell ref="L254:L255"/>
    <mergeCell ref="E494:E495"/>
    <mergeCell ref="F86:F87"/>
    <mergeCell ref="F286:F287"/>
    <mergeCell ref="G494:G495"/>
    <mergeCell ref="H286:H287"/>
    <mergeCell ref="O486:O487"/>
    <mergeCell ref="N454:N455"/>
    <mergeCell ref="L406:L407"/>
    <mergeCell ref="E510:E511"/>
    <mergeCell ref="M374:M375"/>
    <mergeCell ref="F30:F31"/>
    <mergeCell ref="D150:D151"/>
    <mergeCell ref="L14:L15"/>
    <mergeCell ref="F150:F151"/>
    <mergeCell ref="N14:N15"/>
    <mergeCell ref="H350:H351"/>
    <mergeCell ref="I382:I383"/>
    <mergeCell ref="K382:K383"/>
    <mergeCell ref="K438:K439"/>
    <mergeCell ref="M582:M583"/>
    <mergeCell ref="M438:M439"/>
    <mergeCell ref="N470:N471"/>
    <mergeCell ref="F94:F95"/>
    <mergeCell ref="H94:H95"/>
    <mergeCell ref="E518:E519"/>
    <mergeCell ref="J414:J415"/>
    <mergeCell ref="M198:M199"/>
    <mergeCell ref="H566:H567"/>
    <mergeCell ref="G334:G335"/>
    <mergeCell ref="O198:O199"/>
    <mergeCell ref="J566:J567"/>
    <mergeCell ref="H158:H159"/>
    <mergeCell ref="K390:K391"/>
    <mergeCell ref="L566:L567"/>
    <mergeCell ref="L38:L39"/>
    <mergeCell ref="E222:E223"/>
    <mergeCell ref="N38:N39"/>
    <mergeCell ref="G222:G223"/>
    <mergeCell ref="E342:E343"/>
    <mergeCell ref="M206:M207"/>
    <mergeCell ref="H574:H575"/>
    <mergeCell ref="J22:J23"/>
    <mergeCell ref="O262:O263"/>
    <mergeCell ref="J630:J631"/>
    <mergeCell ref="L630:L631"/>
    <mergeCell ref="O110:O111"/>
    <mergeCell ref="E286:E287"/>
    <mergeCell ref="D54:D55"/>
    <mergeCell ref="G286:G287"/>
    <mergeCell ref="N142:N143"/>
    <mergeCell ref="F526:F527"/>
    <mergeCell ref="I6:I7"/>
    <mergeCell ref="N390:N391"/>
    <mergeCell ref="K6:K7"/>
    <mergeCell ref="D270:D271"/>
    <mergeCell ref="K214:K215"/>
    <mergeCell ref="L478:L479"/>
    <mergeCell ref="M270:M271"/>
    <mergeCell ref="N302:N303"/>
    <mergeCell ref="D478:D479"/>
    <mergeCell ref="L198:L199"/>
    <mergeCell ref="F334:F335"/>
    <mergeCell ref="M334:M335"/>
    <mergeCell ref="N366:N367"/>
    <mergeCell ref="O30:O31"/>
    <mergeCell ref="L398:L399"/>
    <mergeCell ref="D430:D431"/>
    <mergeCell ref="E462:E463"/>
    <mergeCell ref="I230:I231"/>
    <mergeCell ref="L318:L319"/>
    <mergeCell ref="N462:N463"/>
    <mergeCell ref="N518:N519"/>
    <mergeCell ref="N318:N319"/>
    <mergeCell ref="O550:O551"/>
    <mergeCell ref="J206:J207"/>
    <mergeCell ref="L22:L23"/>
    <mergeCell ref="N78:N79"/>
    <mergeCell ref="I446:I447"/>
    <mergeCell ref="K446:K447"/>
    <mergeCell ref="I38:I39"/>
    <mergeCell ref="D102:D103"/>
    <mergeCell ref="F102:F103"/>
    <mergeCell ref="L86:L87"/>
    <mergeCell ref="N86:N87"/>
    <mergeCell ref="J158:J159"/>
    <mergeCell ref="K510:K511"/>
    <mergeCell ref="M510:M511"/>
    <mergeCell ref="F166:F167"/>
    <mergeCell ref="N30:N31"/>
    <mergeCell ref="I398:I399"/>
    <mergeCell ref="H166:H167"/>
    <mergeCell ref="J574:J575"/>
    <mergeCell ref="K398:K399"/>
    <mergeCell ref="L46:L47"/>
    <mergeCell ref="M454:M455"/>
    <mergeCell ref="N486:N487"/>
    <mergeCell ref="N94:N95"/>
    <mergeCell ref="O270:O271"/>
    <mergeCell ref="K318:K319"/>
    <mergeCell ref="E294:E295"/>
    <mergeCell ref="E150:E151"/>
    <mergeCell ref="G350:G351"/>
    <mergeCell ref="H382:H383"/>
    <mergeCell ref="J582:J583"/>
    <mergeCell ref="I350:I351"/>
    <mergeCell ref="J382:J383"/>
    <mergeCell ref="L582:L583"/>
    <mergeCell ref="O334:O335"/>
    <mergeCell ref="O518:O519"/>
    <mergeCell ref="E358:E359"/>
    <mergeCell ref="M222:M223"/>
    <mergeCell ref="H590:H591"/>
    <mergeCell ref="M78:M79"/>
    <mergeCell ref="G414:G415"/>
    <mergeCell ref="J590:J591"/>
    <mergeCell ref="O222:O223"/>
    <mergeCell ref="I414:I415"/>
    <mergeCell ref="J446:J447"/>
    <mergeCell ref="K238:K239"/>
    <mergeCell ref="D278:D279"/>
    <mergeCell ref="K414:K415"/>
    <mergeCell ref="F478:F479"/>
    <mergeCell ref="L446:L447"/>
    <mergeCell ref="E118:E119"/>
    <mergeCell ref="G118:G119"/>
    <mergeCell ref="I118:I119"/>
    <mergeCell ref="D486:D487"/>
    <mergeCell ref="D342:D343"/>
    <mergeCell ref="L206:L207"/>
    <mergeCell ref="F542:F543"/>
    <mergeCell ref="F342:F343"/>
    <mergeCell ref="G574:G575"/>
    <mergeCell ref="H542:H543"/>
    <mergeCell ref="I574:I575"/>
    <mergeCell ref="N262:N263"/>
    <mergeCell ref="K630:K631"/>
    <mergeCell ref="M630:M631"/>
    <mergeCell ref="L270:L271"/>
    <mergeCell ref="F606:F607"/>
    <mergeCell ref="E70:E71"/>
    <mergeCell ref="N270:N271"/>
    <mergeCell ref="H606:H607"/>
    <mergeCell ref="E526:E527"/>
    <mergeCell ref="F350:F351"/>
    <mergeCell ref="G526:G527"/>
    <mergeCell ref="E134:E135"/>
    <mergeCell ref="G134:G135"/>
    <mergeCell ref="H214:H215"/>
    <mergeCell ref="H598:H599"/>
    <mergeCell ref="O454:O455"/>
    <mergeCell ref="M302:M303"/>
    <mergeCell ref="E478:E479"/>
    <mergeCell ref="G478:G479"/>
    <mergeCell ref="J430:J431"/>
    <mergeCell ref="D262:D263"/>
    <mergeCell ref="L430:L431"/>
    <mergeCell ref="J278:J279"/>
    <mergeCell ref="D110:D111"/>
    <mergeCell ref="O366:O367"/>
    <mergeCell ref="K502:K503"/>
    <mergeCell ref="N150:N151"/>
    <mergeCell ref="O558:O559"/>
    <mergeCell ref="F326:F327"/>
    <mergeCell ref="D174:D175"/>
    <mergeCell ref="G406:G407"/>
    <mergeCell ref="F174:F175"/>
    <mergeCell ref="I406:I407"/>
    <mergeCell ref="H230:H231"/>
    <mergeCell ref="D70:D71"/>
    <mergeCell ref="K462:K463"/>
    <mergeCell ref="J230:J231"/>
    <mergeCell ref="F70:F71"/>
    <mergeCell ref="D238:D239"/>
    <mergeCell ref="L102:L103"/>
    <mergeCell ref="M278:M279"/>
    <mergeCell ref="F238:F239"/>
    <mergeCell ref="N102:N103"/>
    <mergeCell ref="I470:I471"/>
    <mergeCell ref="I22:I23"/>
    <mergeCell ref="K22:K23"/>
    <mergeCell ref="M526:M527"/>
    <mergeCell ref="M22:M23"/>
    <mergeCell ref="G358:G359"/>
    <mergeCell ref="J54:J55"/>
    <mergeCell ref="E366:E367"/>
    <mergeCell ref="E422:E423"/>
    <mergeCell ref="K86:K87"/>
    <mergeCell ref="L54:L55"/>
    <mergeCell ref="F630:F631"/>
    <mergeCell ref="G422:G423"/>
    <mergeCell ref="M86:M87"/>
    <mergeCell ref="M286:M287"/>
    <mergeCell ref="J510:J511"/>
    <mergeCell ref="N494:N495"/>
    <mergeCell ref="O142:O143"/>
    <mergeCell ref="L510:L511"/>
    <mergeCell ref="O286:O287"/>
    <mergeCell ref="E110:E111"/>
    <mergeCell ref="E166:E167"/>
    <mergeCell ref="M30:M31"/>
    <mergeCell ref="M150:M151"/>
    <mergeCell ref="G182:G183"/>
    <mergeCell ref="O150:O151"/>
    <mergeCell ref="O350:O351"/>
    <mergeCell ref="H390:H391"/>
    <mergeCell ref="I182:I183"/>
    <mergeCell ref="J214:J215"/>
    <mergeCell ref="F550:F551"/>
    <mergeCell ref="K38:K39"/>
    <mergeCell ref="G230:G231"/>
    <mergeCell ref="O94:O95"/>
    <mergeCell ref="J462:J463"/>
    <mergeCell ref="D294:D295"/>
    <mergeCell ref="F294:F295"/>
    <mergeCell ref="I246:I247"/>
    <mergeCell ref="K246:K247"/>
    <mergeCell ref="L278:L279"/>
    <mergeCell ref="N478:N479"/>
    <mergeCell ref="N334:N335"/>
    <mergeCell ref="D358:D359"/>
    <mergeCell ref="L222:L223"/>
    <mergeCell ref="F358:F359"/>
    <mergeCell ref="N222:N223"/>
    <mergeCell ref="I590:I591"/>
    <mergeCell ref="H414:H415"/>
    <mergeCell ref="I582:I583"/>
    <mergeCell ref="I54:I55"/>
    <mergeCell ref="M462:M463"/>
    <mergeCell ref="K54:K55"/>
    <mergeCell ref="F118:F119"/>
    <mergeCell ref="N286:N287"/>
    <mergeCell ref="H118:H119"/>
    <mergeCell ref="M70:M71"/>
    <mergeCell ref="E486:E487"/>
    <mergeCell ref="E542:E543"/>
    <mergeCell ref="F574:F575"/>
    <mergeCell ref="G542:G543"/>
    <mergeCell ref="P6:P7"/>
    <mergeCell ref="O526:O527"/>
    <mergeCell ref="L342:L343"/>
    <mergeCell ref="H182:H183"/>
    <mergeCell ref="J182:J183"/>
    <mergeCell ref="E550:E551"/>
    <mergeCell ref="G606:G607"/>
    <mergeCell ref="I606:I607"/>
    <mergeCell ref="E310:E311"/>
    <mergeCell ref="D78:D79"/>
    <mergeCell ref="D134:D135"/>
    <mergeCell ref="G310:G311"/>
    <mergeCell ref="K470:K471"/>
    <mergeCell ref="F134:F135"/>
    <mergeCell ref="J398:J399"/>
    <mergeCell ref="D534:D535"/>
    <mergeCell ref="N166:N167"/>
    <mergeCell ref="K534:K535"/>
    <mergeCell ref="G374:G375"/>
    <mergeCell ref="M534:M535"/>
    <mergeCell ref="I430:I431"/>
    <mergeCell ref="K430:K431"/>
    <mergeCell ref="H494:H495"/>
    <mergeCell ref="L502:L503"/>
    <mergeCell ref="D502:D503"/>
    <mergeCell ref="N502:N503"/>
    <mergeCell ref="F502:F503"/>
    <mergeCell ref="F558:F559"/>
    <mergeCell ref="E326:E327"/>
    <mergeCell ref="G150:G151"/>
    <mergeCell ref="H558:H559"/>
    <mergeCell ref="E174:E175"/>
    <mergeCell ref="J558:J559"/>
    <mergeCell ref="H406:H407"/>
    <mergeCell ref="O358:O359"/>
    <mergeCell ref="H622:H623"/>
    <mergeCell ref="E238:E239"/>
    <mergeCell ref="J622:J623"/>
    <mergeCell ref="H470:H471"/>
    <mergeCell ref="G238:G239"/>
    <mergeCell ref="M102:M103"/>
    <mergeCell ref="J470:J471"/>
    <mergeCell ref="O102:O103"/>
    <mergeCell ref="D302:D303"/>
    <mergeCell ref="L526:L527"/>
    <mergeCell ref="O574:O575"/>
    <mergeCell ref="N342:N343"/>
    <mergeCell ref="D518:D519"/>
    <mergeCell ref="O166:O167"/>
    <mergeCell ref="I198:I199"/>
    <mergeCell ref="J534:J535"/>
    <mergeCell ref="O598:O599"/>
    <mergeCell ref="D366:D367"/>
    <mergeCell ref="G598:G599"/>
    <mergeCell ref="F422:F423"/>
    <mergeCell ref="I598:I599"/>
    <mergeCell ref="H422:H423"/>
    <mergeCell ref="G62:G63"/>
    <mergeCell ref="I62:I63"/>
    <mergeCell ref="D126:D127"/>
    <mergeCell ref="K262:K263"/>
    <mergeCell ref="L294:L295"/>
    <mergeCell ref="F126:F127"/>
    <mergeCell ref="N294:N295"/>
    <mergeCell ref="N350:N351"/>
    <mergeCell ref="I214:I215"/>
    <mergeCell ref="O134:O135"/>
    <mergeCell ref="K326:K327"/>
    <mergeCell ref="F190:F191"/>
    <mergeCell ref="H190:H191"/>
    <mergeCell ref="H246:H247"/>
    <mergeCell ref="J390:J391"/>
    <mergeCell ref="J246:J247"/>
    <mergeCell ref="K278:K279"/>
    <mergeCell ref="E614:E615"/>
    <mergeCell ref="M478:M479"/>
    <mergeCell ref="G614:G615"/>
    <mergeCell ref="O478:O479"/>
    <mergeCell ref="F254:F255"/>
    <mergeCell ref="N118:N119"/>
    <mergeCell ref="K486:K487"/>
    <mergeCell ref="K342:K343"/>
    <mergeCell ref="M542:M543"/>
    <mergeCell ref="D142:D143"/>
    <mergeCell ref="M342:M343"/>
    <mergeCell ref="O542:O543"/>
    <mergeCell ref="H198:H199"/>
    <mergeCell ref="I374:I375"/>
    <mergeCell ref="J406:J407"/>
    <mergeCell ref="D30:D31"/>
    <mergeCell ref="H14:H15"/>
    <mergeCell ref="J14:J15"/>
    <mergeCell ref="E382:E383"/>
    <mergeCell ref="L70:L71"/>
    <mergeCell ref="G382:G383"/>
    <mergeCell ref="G438:G439"/>
    <mergeCell ref="N70:N71"/>
    <mergeCell ref="O606:O607"/>
    <mergeCell ref="I438:I439"/>
    <mergeCell ref="D94:D95"/>
    <mergeCell ref="E126:E127"/>
    <mergeCell ref="N526:N527"/>
    <mergeCell ref="L134:L135"/>
    <mergeCell ref="D550:D551"/>
    <mergeCell ref="N134:N135"/>
    <mergeCell ref="K198:K199"/>
    <mergeCell ref="F566:F567"/>
    <mergeCell ref="D158:D159"/>
    <mergeCell ref="G390:G391"/>
    <mergeCell ref="H38:H39"/>
    <mergeCell ref="J38:J39"/>
    <mergeCell ref="D310:D311"/>
    <mergeCell ref="D614:D615"/>
    <mergeCell ref="I206:I207"/>
    <mergeCell ref="F310:F311"/>
    <mergeCell ref="F614:F615"/>
    <mergeCell ref="N574:N575"/>
    <mergeCell ref="N46:N47"/>
    <mergeCell ref="M262:M263"/>
    <mergeCell ref="H630:H631"/>
    <mergeCell ref="K110:K111"/>
    <mergeCell ref="O86:O87"/>
    <mergeCell ref="M110:M111"/>
    <mergeCell ref="F374:F375"/>
    <mergeCell ref="G166:G167"/>
    <mergeCell ref="H374:H375"/>
    <mergeCell ref="M326:M327"/>
    <mergeCell ref="K174:K175"/>
    <mergeCell ref="M174:M175"/>
    <mergeCell ref="G6:G7"/>
    <mergeCell ref="O174:O175"/>
    <mergeCell ref="K70:K71"/>
    <mergeCell ref="O230:O231"/>
    <mergeCell ref="E502:E503"/>
    <mergeCell ref="D326:D327"/>
    <mergeCell ref="G558:G559"/>
    <mergeCell ref="L454:L455"/>
    <mergeCell ref="I558:I559"/>
    <mergeCell ref="J302:J303"/>
    <mergeCell ref="L302:L303"/>
    <mergeCell ref="L358:L359"/>
    <mergeCell ref="N358:N359"/>
    <mergeCell ref="J198:J199"/>
    <mergeCell ref="E566:E567"/>
    <mergeCell ref="D334:D335"/>
    <mergeCell ref="G566:G567"/>
    <mergeCell ref="I622:I623"/>
    <mergeCell ref="K622:K623"/>
    <mergeCell ref="L366:L367"/>
    <mergeCell ref="N54:N55"/>
    <mergeCell ref="N422:N423"/>
    <mergeCell ref="H254:H255"/>
    <mergeCell ref="J110:J111"/>
    <mergeCell ref="M486:M487"/>
    <mergeCell ref="N126:N127"/>
    <mergeCell ref="F598:F599"/>
    <mergeCell ref="H318:H319"/>
    <mergeCell ref="K550:K551"/>
    <mergeCell ref="J318:J319"/>
    <mergeCell ref="M550:M551"/>
    <mergeCell ref="D6:D7"/>
    <mergeCell ref="F206:F207"/>
    <mergeCell ref="F6:F7"/>
    <mergeCell ref="F590:F591"/>
    <mergeCell ref="K294:K295"/>
    <mergeCell ref="M294:M295"/>
    <mergeCell ref="J78:J79"/>
    <mergeCell ref="M614:M615"/>
    <mergeCell ref="L78:L79"/>
    <mergeCell ref="G446:G447"/>
    <mergeCell ref="O310:O311"/>
    <mergeCell ref="O614:O615"/>
    <mergeCell ref="H270:H271"/>
    <mergeCell ref="L150:L151"/>
    <mergeCell ref="L534:L535"/>
    <mergeCell ref="E190:E191"/>
    <mergeCell ref="M358:M359"/>
    <mergeCell ref="J86:J87"/>
    <mergeCell ref="F158:F159"/>
    <mergeCell ref="G190:G191"/>
    <mergeCell ref="L142:L143"/>
    <mergeCell ref="I510:I511"/>
    <mergeCell ref="J30:J31"/>
    <mergeCell ref="E398:E399"/>
    <mergeCell ref="D166:D167"/>
    <mergeCell ref="L30:L31"/>
    <mergeCell ref="G398:G399"/>
    <mergeCell ref="G254:G255"/>
    <mergeCell ref="H46:H47"/>
    <mergeCell ref="I454:I455"/>
    <mergeCell ref="I254:I255"/>
    <mergeCell ref="J486:J487"/>
    <mergeCell ref="L486:L487"/>
    <mergeCell ref="O118:O119"/>
    <mergeCell ref="N542:N543"/>
    <mergeCell ref="K270:K271"/>
    <mergeCell ref="G14:G15"/>
    <mergeCell ref="G318:G319"/>
    <mergeCell ref="O182:O183"/>
    <mergeCell ref="I14:I15"/>
    <mergeCell ref="D382:D383"/>
    <mergeCell ref="K14:K15"/>
    <mergeCell ref="F582:F583"/>
    <mergeCell ref="E350:E351"/>
    <mergeCell ref="F382:F383"/>
    <mergeCell ref="H582:H583"/>
    <mergeCell ref="K518:K519"/>
    <mergeCell ref="H438:H439"/>
    <mergeCell ref="J438:J439"/>
    <mergeCell ref="L590:L591"/>
    <mergeCell ref="M238:M239"/>
    <mergeCell ref="I78:I79"/>
    <mergeCell ref="N590:N591"/>
    <mergeCell ref="O238:O239"/>
    <mergeCell ref="K78:K79"/>
    <mergeCell ref="E414:E415"/>
    <mergeCell ref="F446:F447"/>
    <mergeCell ref="M134:M135"/>
    <mergeCell ref="H446:H447"/>
    <mergeCell ref="N310:N311"/>
    <mergeCell ref="K574:K575"/>
    <mergeCell ref="H206:H207"/>
    <mergeCell ref="E22:E23"/>
    <mergeCell ref="M574:M575"/>
    <mergeCell ref="J262:J263"/>
    <mergeCell ref="D542:D543"/>
    <mergeCell ref="E574:E575"/>
    <mergeCell ref="L262:L263"/>
    <mergeCell ref="M494:M495"/>
    <mergeCell ref="G630:G631"/>
    <mergeCell ref="G46:G47"/>
    <mergeCell ref="O6:O7"/>
    <mergeCell ref="I630:I631"/>
    <mergeCell ref="I46:I47"/>
    <mergeCell ref="L110:L111"/>
    <mergeCell ref="O494:O495"/>
    <mergeCell ref="D286:D287"/>
    <mergeCell ref="L326:L327"/>
    <mergeCell ref="N326:N327"/>
    <mergeCell ref="I390:I391"/>
    <mergeCell ref="L174:L175"/>
    <mergeCell ref="O406:O407"/>
    <mergeCell ref="N174:N175"/>
    <mergeCell ref="D350:D351"/>
    <mergeCell ref="G582:G583"/>
    <mergeCell ref="O398:O399"/>
    <mergeCell ref="F214:F215"/>
    <mergeCell ref="K454:K455"/>
    <mergeCell ref="N238:N239"/>
    <mergeCell ref="I302:I303"/>
    <mergeCell ref="K302:K303"/>
    <mergeCell ref="D566:D567"/>
    <mergeCell ref="M518:M519"/>
    <mergeCell ref="J334:J335"/>
    <mergeCell ref="K366:K367"/>
    <mergeCell ref="N598:N599"/>
    <mergeCell ref="M366:M367"/>
    <mergeCell ref="O422:O423"/>
    <mergeCell ref="J94:J95"/>
    <mergeCell ref="L94:L95"/>
    <mergeCell ref="M126:M127"/>
    <mergeCell ref="G462:G463"/>
    <mergeCell ref="O126:O127"/>
    <mergeCell ref="I462:I463"/>
    <mergeCell ref="I318:I319"/>
    <mergeCell ref="L550:L551"/>
    <mergeCell ref="N550:N551"/>
    <mergeCell ref="L158:L159"/>
    <mergeCell ref="M190:M191"/>
    <mergeCell ref="G22:G23"/>
    <mergeCell ref="N158:N159"/>
    <mergeCell ref="I526:I527"/>
    <mergeCell ref="O190:O191"/>
    <mergeCell ref="K222:K223"/>
    <mergeCell ref="L614:L615"/>
    <mergeCell ref="N614:N615"/>
    <mergeCell ref="D38:D39"/>
    <mergeCell ref="G86:G87"/>
    <mergeCell ref="I86:I87"/>
    <mergeCell ref="J494:J495"/>
    <mergeCell ref="K142:K143"/>
    <mergeCell ref="F510:F511"/>
    <mergeCell ref="M142:M143"/>
    <mergeCell ref="N374:N375"/>
    <mergeCell ref="H510:H511"/>
    <mergeCell ref="E142:E143"/>
    <mergeCell ref="I30:I31"/>
    <mergeCell ref="K30:K31"/>
    <mergeCell ref="F398:F399"/>
    <mergeCell ref="I150:I151"/>
    <mergeCell ref="L382:L383"/>
    <mergeCell ref="H454:H455"/>
    <mergeCell ref="J270:J271"/>
    <mergeCell ref="M502:M503"/>
    <mergeCell ref="K94:K95"/>
    <mergeCell ref="F462:F463"/>
    <mergeCell ref="E230:E231"/>
    <mergeCell ref="M94:M95"/>
    <mergeCell ref="J518:J519"/>
    <mergeCell ref="H278:H279"/>
    <mergeCell ref="M566:M567"/>
    <mergeCell ref="L334:L335"/>
    <mergeCell ref="O566:O567"/>
    <mergeCell ref="F22:F23"/>
    <mergeCell ref="H222:H223"/>
    <mergeCell ref="H22:H23"/>
    <mergeCell ref="M590:M591"/>
    <mergeCell ref="J222:J223"/>
    <mergeCell ref="E590:E591"/>
    <mergeCell ref="D414:D415"/>
    <mergeCell ref="E446:E447"/>
    <mergeCell ref="G590:G591"/>
    <mergeCell ref="F414:F415"/>
    <mergeCell ref="H238:H239"/>
    <mergeCell ref="M310:M311"/>
    <mergeCell ref="O22:O23"/>
    <mergeCell ref="O630:O631"/>
    <mergeCell ref="E54:E55"/>
    <mergeCell ref="J142:J143"/>
    <mergeCell ref="D118:D119"/>
    <mergeCell ref="G206:G207"/>
    <mergeCell ref="G510:G511"/>
    <mergeCell ref="O374:O375"/>
    <mergeCell ref="D574:D575"/>
    <mergeCell ref="L6:L7"/>
    <mergeCell ref="F46:F47"/>
    <mergeCell ref="K526:K527"/>
    <mergeCell ref="N6:N7"/>
    <mergeCell ref="H342:H343"/>
    <mergeCell ref="D182:D183"/>
    <mergeCell ref="F182:F183"/>
    <mergeCell ref="G270:G271"/>
    <mergeCell ref="H62:H63"/>
    <mergeCell ref="I270:I271"/>
    <mergeCell ref="J62:J63"/>
    <mergeCell ref="E606:E607"/>
    <mergeCell ref="H398:H399"/>
    <mergeCell ref="J454:J455"/>
    <mergeCell ref="O254:O255"/>
    <mergeCell ref="E430:E431"/>
    <mergeCell ref="G430:G431"/>
    <mergeCell ref="H462:H463"/>
    <mergeCell ref="E278:E279"/>
    <mergeCell ref="D494:D495"/>
    <mergeCell ref="L518:L519"/>
    <mergeCell ref="J366:J367"/>
    <mergeCell ref="J502:J503"/>
    <mergeCell ref="K150:K151"/>
    <mergeCell ref="N382:N383"/>
    <mergeCell ref="D558:D559"/>
    <mergeCell ref="G342:G343"/>
    <mergeCell ref="O206:O207"/>
    <mergeCell ref="D406:D407"/>
    <mergeCell ref="L126:L127"/>
    <mergeCell ref="E94:E95"/>
    <mergeCell ref="N446:N447"/>
    <mergeCell ref="F622:F623"/>
    <mergeCell ref="I102:I103"/>
    <mergeCell ref="D470:D471"/>
    <mergeCell ref="K102:K103"/>
    <mergeCell ref="F470:F471"/>
    <mergeCell ref="M158:M159"/>
    <mergeCell ref="N190:N191"/>
    <mergeCell ref="H526:H527"/>
    <mergeCell ref="E158:E159"/>
    <mergeCell ref="O158:O159"/>
    <mergeCell ref="I166:I167"/>
    <mergeCell ref="J342:J343"/>
    <mergeCell ref="N398:N399"/>
    <mergeCell ref="N254:N255"/>
    <mergeCell ref="O46:O47"/>
    <mergeCell ref="H86:H87"/>
    <mergeCell ref="J286:J287"/>
    <mergeCell ref="E598:E599"/>
    <mergeCell ref="D422:D423"/>
    <mergeCell ref="L286:L287"/>
    <mergeCell ref="E62:E63"/>
    <mergeCell ref="H294:H295"/>
    <mergeCell ref="H150:H151"/>
    <mergeCell ref="J294:J295"/>
    <mergeCell ref="J350:J351"/>
    <mergeCell ref="J150:J151"/>
    <mergeCell ref="E214:E215"/>
    <mergeCell ref="L350:L351"/>
    <mergeCell ref="M382:M383"/>
    <mergeCell ref="G214:G215"/>
    <mergeCell ref="O382:O383"/>
    <mergeCell ref="O438:O439"/>
    <mergeCell ref="O582:O583"/>
    <mergeCell ref="D190:D191"/>
    <mergeCell ref="D246:D247"/>
    <mergeCell ref="L414:L415"/>
    <mergeCell ref="F246:F247"/>
    <mergeCell ref="G278:G279"/>
    <mergeCell ref="I478:I479"/>
    <mergeCell ref="I278:I279"/>
    <mergeCell ref="I334:I335"/>
    <mergeCell ref="K478:K479"/>
    <mergeCell ref="N414:N415"/>
    <mergeCell ref="K334:K335"/>
    <mergeCell ref="N566:N567"/>
    <mergeCell ref="O390:O391"/>
    <mergeCell ref="L118:L119"/>
    <mergeCell ref="I222:I223"/>
    <mergeCell ref="D590:D591"/>
    <mergeCell ref="I342:I343"/>
    <mergeCell ref="K542:K543"/>
    <mergeCell ref="L574:L575"/>
    <mergeCell ref="D198:D199"/>
    <mergeCell ref="D582:D583"/>
    <mergeCell ref="E374:E375"/>
    <mergeCell ref="F406:F407"/>
    <mergeCell ref="N630:N631"/>
    <mergeCell ref="I286:I287"/>
    <mergeCell ref="K286:K287"/>
    <mergeCell ref="H70:H71"/>
    <mergeCell ref="J70:J71"/>
    <mergeCell ref="E438:E439"/>
    <mergeCell ref="J526:J527"/>
    <mergeCell ref="M6:M7"/>
    <mergeCell ref="D214:D215"/>
    <mergeCell ref="E6:E7"/>
    <mergeCell ref="E182:E183"/>
    <mergeCell ref="J134:J135"/>
    <mergeCell ref="D606:D607"/>
    <mergeCell ref="M214:M215"/>
    <mergeCell ref="M598:M599"/>
    <mergeCell ref="E246:E247"/>
    <mergeCell ref="F38:F39"/>
    <mergeCell ref="H478:H479"/>
    <mergeCell ref="J478:J479"/>
    <mergeCell ref="J46:J47"/>
    <mergeCell ref="I262:I263"/>
    <mergeCell ref="G110:G111"/>
    <mergeCell ref="O278:O279"/>
    <mergeCell ref="I110:I111"/>
    <mergeCell ref="K166:K167"/>
    <mergeCell ref="F534:F535"/>
    <mergeCell ref="M166:M167"/>
    <mergeCell ref="H534:H535"/>
    <mergeCell ref="D374:D375"/>
    <mergeCell ref="F430:F431"/>
    <mergeCell ref="H430:H431"/>
    <mergeCell ref="I174:I175"/>
    <mergeCell ref="K230:K231"/>
    <mergeCell ref="N406:N407"/>
    <mergeCell ref="M230:M231"/>
    <mergeCell ref="G502:G503"/>
    <mergeCell ref="I502:I503"/>
  </mergeCells>
  <pageMargins left="0.7086614173228351" right="0.7086614173228351" top="0.748031496062992" bottom="0.748031496062992" header="0.31496062992126" footer="0.31496062992126"/>
  <pageSetup orientation="portrait" paperSize="1" scale="27" fitToHeight="0"/>
  <headerFooter>
    <oddHeader/>
    <oddFooter>&amp;Cصفحة &amp;P من &amp;N</oddFooter>
    <evenHeader/>
    <evenFooter/>
    <firstHeader/>
    <firstFooter/>
  </headerFooter>
  <colBreaks count="2" manualBreakCount="2">
    <brk id="15" min="0" max="633" man="1"/>
    <brk id="17" min="0" max="632" man="1"/>
  </colBreak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2022-12-22T22:09:00Z</dcterms:created>
  <dcterms:modified xmlns:dcterms="http://purl.org/dc/terms/" xmlns:xsi="http://www.w3.org/2001/XMLSchema-instance" xsi:type="dcterms:W3CDTF">2025-12-09T22:50:55Z</dcterms:modified>
  <cp:lastModifiedBy>المهندس احمد ناجح نوفل</cp:lastModifiedBy>
  <cp:lastPrinted>2023-09-24T11:00:00Z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1033-12.2.0.23155</vt:lpwstr>
  </property>
  <property name="ICV" fmtid="{D5CDD505-2E9C-101B-9397-08002B2CF9AE}" pid="3">
    <vt:lpwstr xmlns:vt="http://schemas.openxmlformats.org/officeDocument/2006/docPropsVTypes">E8811DC22CD94C3581050C1D2C2F3774_12</vt:lpwstr>
  </property>
</Properties>
</file>