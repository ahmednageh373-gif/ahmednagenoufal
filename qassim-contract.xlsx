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vbaProject.bin" ContentType="application/vnd.ms-office.vbaProject"/>
  <Override PartName="/xl/workbook.xml" ContentType="application/vnd.ms-excel.sheet.macroEnabled.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7771" windowHeight="8232"/>
  </bookViews>
  <sheets>
    <sheet name="ورقة1" sheetId="1" r:id="rId1"/>
  </sheets>
  <definedNames>
    <definedName name="_xlnm._FilterDatabase" localSheetId="0" hidden="1">ورقة1!$D$6:$N$636</definedName>
    <definedName name="_xlnm.Print_Area" localSheetId="0">ورقة1!$D$1:$O$635</definedName>
    <definedName name="_xlnm.Print_Titles" localSheetId="0">ورقة1!$1:$7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<sst xmlns="http://schemas.openxmlformats.org/spreadsheetml/2006/main" count="3766" uniqueCount="1283">
  <si>
    <t>انشاء وتجهيز مجمع المزارع النموذجية للإنتاج الحيواني بالقصيم</t>
  </si>
  <si>
    <t xml:space="preserve">15 شهر </t>
  </si>
  <si>
    <t>الرقم التسلسلي</t>
  </si>
  <si>
    <t>الفئة</t>
  </si>
  <si>
    <t>البند</t>
  </si>
  <si>
    <t>وصف البند</t>
  </si>
  <si>
    <t>المواصفات</t>
  </si>
  <si>
    <t>منتج من القائمة الإلزامية</t>
  </si>
  <si>
    <t>الرمز الإنشائي</t>
  </si>
  <si>
    <t>مرفقات</t>
  </si>
  <si>
    <t>وحدة القياس</t>
  </si>
  <si>
    <t>الكمية</t>
  </si>
  <si>
    <t>سعر الوحدة</t>
  </si>
  <si>
    <t>الإجمالي</t>
  </si>
  <si>
    <t>الموقع العام اعمال حفر</t>
  </si>
  <si>
    <t>اعمال اعتيادية مباني معمارية 1</t>
  </si>
  <si>
    <t>بالمتر المربع توريد مدقات للطرق وانهاء العمل طبقاً لأصول الصناعة وتعليمات المهندس المشرف</t>
  </si>
  <si>
    <t>لا</t>
  </si>
  <si>
    <t>لا يوجد مرفقات</t>
  </si>
  <si>
    <t>م2</t>
  </si>
  <si>
    <t>الموقع العام اعمال مدقات</t>
  </si>
  <si>
    <t>اعمال اعتيادية مباني معمارية 2</t>
  </si>
  <si>
    <t>الموقع العام تركيب سور خارجي</t>
  </si>
  <si>
    <t>اعمال اعتيادية مباني معمارية 3</t>
  </si>
  <si>
    <r>
      <t xml:space="preserve">بالمتر الطولي توريد وتنفيذ سور خارجي بارتفاع </t>
    </r>
    <r>
      <rPr>
        <sz val="14"/>
        <color rgb="FFFF0000"/>
        <rFont val="Arial"/>
        <charset val="134"/>
      </rPr>
      <t>35 م</t>
    </r>
    <r>
      <rPr>
        <sz val="14"/>
        <color rgb="FF00463F"/>
        <rFont val="Arial"/>
        <charset val="134"/>
      </rPr>
      <t xml:space="preserve"> يتكون من باكيات من الخرسانة والمباني طبقاً للمخططات ـ التشطيب بارز (بروفيل) فوق لياسة الأعمدة الخرسانية وللقطاعات الحديدية دهان بوجهه اساسي يجهز بالمصنع وثلاثة اوجه من الدهان الناري تحت اشراف المهندس المشرف كما يشتمل السور على وزرة من الجرانيت بارتفاع 800 مم والبند يشمل اعمال الحفر للأساسات وعزل الاساسات ضد الرطوبة والردم حول الاساسات بأتربة نظيفة مع رش المبيدات الخاصة بدودة الأرض (النمل الأبيض) أسفل الاساسات طبقا للأبعاد والمناسيب الموضحة على المخططات وكذلك اعمال الخرسانة المسلحة والعادية مع استخدم اسمنت مقاوم للكبريتات على الا يقل محتوى الاسمنت عن 350 كجم/م3 للخرسانة المسلحة و275 كجم/م3 للخرسانة العادية على أن تنفذ جميع الاعمال طبقاً للمخطط التفصيلي للسور طبقا للمواصفات وتحت اشراف المهندس المشرف 2004-2049-2017</t>
    </r>
  </si>
  <si>
    <t>نعم</t>
  </si>
  <si>
    <t>مط</t>
  </si>
  <si>
    <t>الموقع العام تركيب سياج</t>
  </si>
  <si>
    <t>اعمال اعتيادية مباني معمارية 4</t>
  </si>
  <si>
    <r>
      <t>بالمتر الطولي توريد وتنفيذ سياج من الشبك المجلفن طبقاً للمواصفات المذكورة بنطاق العمل وجميع الأعمال الآتية: - الحفر بعمق 65 سم طبقا لأبعاد قواعد الخرسانة العادية - الردم برمال نظيفة أو من ناتج الحفر (إذا كان يصلح) - صب قواعد خرسانة عادية 60سم*60سم بسمك 10 سم - صب قواعد خرسانة مسلحة 50سم*50سم بسمك 55 سم يتم اخذ تفاصيل التسليح من نطاق العمل - توريد و دهان طبقتين من دهان بيتوميني لجوانب وأسطح القواعد المسلحة - تركيب الأعمدة الساندة كل 3 متر، مواسير حديد مجلفن قطر 25 بوصة وسماكة 3 مم - تركيب أعمدة الشد كل 30 متر، مواسير حديد مجلفن قطر 3 بوصة وسماكة 3 مم - تركيب سلك شبك مجدول مجلفن بسماكة 4مم بإرتفاع</t>
    </r>
    <r>
      <rPr>
        <sz val="14"/>
        <color rgb="FFFF0000"/>
        <rFont val="Arial"/>
        <charset val="134"/>
      </rPr>
      <t xml:space="preserve"> 25 متر عن سطح الأرض</t>
    </r>
    <r>
      <rPr>
        <sz val="14"/>
        <color rgb="FF00463F"/>
        <rFont val="Arial"/>
        <charset val="134"/>
      </rPr>
      <t xml:space="preserve"> وفتحات لا تزيد عن 5 سم والعمل طبقاً للمخططات والمواصفات وحسب أصول الصناعة و تعليمات المهندس المشرف 2004</t>
    </r>
  </si>
  <si>
    <t>الموقع العام تركيب بوابه رئيسية</t>
  </si>
  <si>
    <t>اعمال اعتيادية مباني معمارية 5</t>
  </si>
  <si>
    <r>
      <rPr>
        <sz val="14"/>
        <color rgb="FF00463F"/>
        <rFont val="Arial"/>
        <charset val="134"/>
      </rPr>
      <t xml:space="preserve">بالعدد :توريد و تركيب بوابه رئيسية ضلفتين تتحرك محوريا على عجل ,الإطار من مواسير الحديد المجلفن بقطر 3 بوصة و سماكة 3 مم ومقاس الضلفة الواحدة </t>
    </r>
    <r>
      <rPr>
        <sz val="14"/>
        <color rgb="FFFF0000"/>
        <rFont val="Arial"/>
        <charset val="134"/>
      </rPr>
      <t>400 × 250 متر</t>
    </r>
    <r>
      <rPr>
        <sz val="14"/>
        <color rgb="FF00463F"/>
        <rFont val="Arial"/>
        <charset val="134"/>
      </rPr>
      <t>، ويتم تدعيم الضلفتين بمواسير من نفس النوع علي شكل حرف ( × ) و تكسية البوابة بسلك شبكي بنفس مواصفات سلك السور مع ربط الشبك بالمواسير مبسطة عرض 2 سم و تكون ملحومة بشكل جيد مع تزويد أعلي البوابة بزاوية بارتفاع 05 م يثبت بها السلك الشائك و سلك الشد بنفس المواصفات كما في السور و السعر محمل عليه جميع الأعمال وكافة الإكسسوارات اللازمة (عدد أربعة مفصلات لكل ضلفة، العلوية مقلوبة) و مزلاج وعجلة لكل ضلفة بالمجرى المعدني الخاص بها و سلسلة و قفل مقاس كبير) 2011</t>
    </r>
  </si>
  <si>
    <t>عدد</t>
  </si>
  <si>
    <t>الموقع العام تركيب بوابه خروج</t>
  </si>
  <si>
    <t>اعمال اعتيادية مباني معمارية 6</t>
  </si>
  <si>
    <t>مثل مواصفات البند السابق ولكن خروج الطوارئ 2011</t>
  </si>
  <si>
    <t>لرقم التسلسلي</t>
  </si>
  <si>
    <t>الموقع العام تركيب لوحة ارشادية</t>
  </si>
  <si>
    <t>اعمال اعتيادية مباني معمارية 7</t>
  </si>
  <si>
    <t>بالعدد توريد وتركيب لوحة ارشادية للمشروع (رئيسية ) متضمنة اسم موقع المشروع باللغتين العربية والإنجليزية بنفس الفونت والأبعاد التي في المخططات على أن تكون الكتابة على لوح معدني مدهون بطبقة اليورثان وتثبت على قائمين من الحديد الذي لا يصدأ عبارة عن إسطوانتين بقطر 15سم وسمك 5مم ، كما تحتوي اللوحة على بيت للإضاءة ذو قطاع مربع يعلو اللوحة على أن يكون بيت الإضاءة من الحديد الذي لا يصدأ وذلك لإنارة موضع الكتابة باللوحة كما يحمل على البند جميع أعمال الحفر والردم والتثبيت وجميع أعمال إضاءة اللوحة، وعلى المقاول تقديم عينة من اللوحة للإعتماد قبل التنفيذ ، ويتم إنهاء العمل حسب المخططات والمواصفات وتعليمات المهندس المشرف</t>
  </si>
  <si>
    <t>الموقع العام تركيب ذراع تحكم</t>
  </si>
  <si>
    <t>اعمال اعتيادية مباني معمارية 8</t>
  </si>
  <si>
    <r>
      <rPr>
        <sz val="14"/>
        <color rgb="FF00463F"/>
        <rFont val="Arial"/>
        <charset val="134"/>
      </rPr>
      <t xml:space="preserve">بالعدد توريد وتركيب ذراع تحكم لدخول وخروج السيارات لزوم البوابات الخارجية بطول لا يقل عن </t>
    </r>
    <r>
      <rPr>
        <sz val="14"/>
        <color rgb="FFFF0000"/>
        <rFont val="Arial"/>
        <charset val="134"/>
      </rPr>
      <t>350 متر</t>
    </r>
    <r>
      <rPr>
        <sz val="14"/>
        <color rgb="FF00463F"/>
        <rFont val="Arial"/>
        <charset val="134"/>
      </rPr>
      <t xml:space="preserve"> والسعر يشمل جميع ما يلزم من أجهزة تحكم كهربائية من داخل مبنى الحراسة جميع أعمال التوصيلات الكهربائية وكذلك عدد (2) ريموت كنترول وماتور الحركة والمساند وخلافه طبقاً لمتطلبات الشركة المتخصصة المعتمدة من المهندس المشرف</t>
    </r>
  </si>
  <si>
    <t>الموقع العام تركيب مظلات للسيارات</t>
  </si>
  <si>
    <t>اعمال اعتيادية مباني معمارية 9</t>
  </si>
  <si>
    <t>بالمتر المربع توريد وتركيب مظلات للسيارات من PVC الماني كثافة 1050غرام/م2 وقطاعات الحديد وحسب المواصفات الفنية ومحمل على البند تقديم المخططات التنفيذية والاشكال لمظلات مواقف السيارات تشمل ( مخططات انشائية ومعماريه ) واحمال الرياح وعمل القواعد الخرسانية والردم والحفر واعمال الانكور بولت والبليتات والعمل يشمل جميع المواد وكل ما يلزم واعتمادها من المهندس المشرف وكل ما يلزم لانهاء الاعمال حسب المخططات و المواصفات الفنية و اصول الصناعة و تعليمات المهندس المشرف وضمان عشر سنوات 2004</t>
  </si>
  <si>
    <t>غرف الكهرباء أعمال دهان ايبوكسى</t>
  </si>
  <si>
    <t>اعمال اعتيادية مباني معمارية 10</t>
  </si>
  <si>
    <t>توريد وعمل دهان من الايبوكسي لكامل أرضيات غرفة الكهرباء مع خاصية منع الانزلاق وتكون مقاومه للقطع والخدش العميق وكذلك مقاومة المواد الكيميائيه كما يراعي اثناء التنفيذ السيفونات الارضيه ومخارج القوي الارضيه علي ان يتم عمل جميع ما سبق طبقا للاصول الفنيه الخاصه بهذه الماده، ويجب إعتماد العينات وطريقة التنفيذ من جهاز الإشراف قبل بدأ التنفيذ</t>
  </si>
  <si>
    <t>مغطس</t>
  </si>
  <si>
    <t>اعمال اعتيادية مباني معمارية 11</t>
  </si>
  <si>
    <t>انشاء مغطس الاحواض الثابتة من الطوب والخرسانة بمواصفات خاصة تسمح بغمر الحيوانات دون رأسها في المحلول المطهر حتى يصل المحلول إلى جميع اجزاء الجسم</t>
  </si>
  <si>
    <t>غرف الكهرباء أعمال خرسانية بلوك 20سم خارجي</t>
  </si>
  <si>
    <t>اعمال اعتيادية مباني معمارية 12</t>
  </si>
  <si>
    <t>بالمتر المربع توريد و عمل مبانى خارجية سمك 20سم مؤلفه من بلوك أسمنتى يحتوى على عازل الحرارى من البوليسترين المقفل المسام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2017-2011</t>
  </si>
  <si>
    <t>غرف الكهرباء أعمال خرسانية بلوك 20سم داخلي</t>
  </si>
  <si>
    <t>اعمال اعتيادية مباني معمارية 13</t>
  </si>
  <si>
    <t>بالمتر المربع توريد و عمل مبانى داخلية سمك 20سم مؤلفه من بلوك أسمنتى مفرغ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2011-2004</t>
  </si>
  <si>
    <t>غرف الكهرباء أعمال خرسانة خفيفة</t>
  </si>
  <si>
    <t>اعمال اعتيادية مباني معمارية 14</t>
  </si>
  <si>
    <t>بالمتر المسطح توريد وصب خرسانة (خفيفة) لميول السطح بسمك 7 سم طبقا للمواصفات واصول الصناعة وتعليمات المهندس المشرف</t>
  </si>
  <si>
    <t>غرف الكهرباء أعمال دهان بيتومين ساخن</t>
  </si>
  <si>
    <t>اعمال اعتيادية مباني معمارية 15</t>
  </si>
  <si>
    <t>بالمتر المسطح توريد و دهان وجهين بالبيتومين الساخن لزوم عزل الرطوبه للاسطح حسب المخططات والمواصفات وتعليمات المهندس المشرف</t>
  </si>
  <si>
    <t>غرف الكهرباء أعمال شرائح بيتومين مقوى</t>
  </si>
  <si>
    <t>اعمال اعتيادية مباني معمارية 16</t>
  </si>
  <si>
    <t>بالمتر المسطح توريد وتركيب طبقتين من شرائح البيتومين المقوى بالياف البوليستر سماكة 3 مم لكل طبقة لزومسطح المبانى ومحمل عليه الوزرة الالمونيوم وخرسانة الحماية للعزل بسمك لا يقل عن 5 سم حسب المخططات والمواصفات وتعليمات المهندس المشرف</t>
  </si>
  <si>
    <t>غرف الكهرباء أعمال عزل</t>
  </si>
  <si>
    <t>اعمال اعتيادية مباني معمارية 17</t>
  </si>
  <si>
    <t>بالمتر المسطح توريد وتركيب طبقة عازلة للحرارة سمك 50 مم من الواح اكسترودد بوليسترين كثافة 35 كجم/ م3 للاسطح لزوم اسطح المباني</t>
  </si>
  <si>
    <t>غرف الكهرباء تركيب شرائح البوليثيلين</t>
  </si>
  <si>
    <t>اعمال اعتيادية مباني معمارية 18</t>
  </si>
  <si>
    <t>بالمتر المسطح توريد وتركيب طبقة من شرائح البوليثيلين سمك 200 ميكرون لزوم اسطح المباني طبقا للمواصفات وتعليمات المهندس المشرف</t>
  </si>
  <si>
    <t>غرف الكهرباء تركيب بلاط موزايكو</t>
  </si>
  <si>
    <t>اعمال اعتيادية مباني معمارية 19</t>
  </si>
  <si>
    <t>بالمتر المسطح- توريد وتركيب ارضيات ( موزايكو ) لزوم الاسطح مقاس 300× 300 × 25 مم ، طبقا للعينة المعتمدة شاملا وزرة من نفس النوع وعمل فواصل التمدد وملئها بالمواد اللازمة ، وعلى المقاول تقديم العينات لإختيار اللون والنوع لإعتمادها من قبل المهندس المشرف طبقا للمخططات والمواصفات والشروط الفنية</t>
  </si>
  <si>
    <t>غرف الكهرباء أعمال لياسة للحوائط الداخلية</t>
  </si>
  <si>
    <t>اعمال اعتيادية مباني معمارية 20</t>
  </si>
  <si>
    <t>توريد وعمل طبقة لياسة من رمل بياض واسمنت بورتلاندى عادى بعد عمل طبقة الطرطشة الاسمنتية للحوائط الداخلية والدروة من الداخل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</si>
  <si>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 الكهرباء أعمال لياسة للحوائط الخارجية</t>
  </si>
  <si>
    <t>اعمال اعتيادية مباني معمارية 21</t>
  </si>
  <si>
    <t>بالمتر المربع توريد وعمل طبقة لياسة من رمل بياض واسمنت بورتلاندى عادى بعد عمل طبقة الطرطشة الاسمنتية للحوائط الخارجية على ان تكون الطرطشة الاسمنتية مدببة وخشنة مع استخدام زوايا حديد مجلفن لزوايا المبنى وشبك ممدد للفواصل بين البلوك والخرسانات وتعمل اللياسة على بؤج واوتار طبقا لاصول الصناعة والمخططات وتعليمات المهندس المشرف 2123</t>
  </si>
  <si>
    <t>غرف الكهرباء أعمال دهان رشة امريكية</t>
  </si>
  <si>
    <t>اعمال اعتيادية مباني معمارية 22</t>
  </si>
  <si>
    <t>توريد وعمل دهانات رشة أمريكية باللون المطلوب لزوم الحوائط الداخلية والدروة من الداخل على ان تكون الدهانات مقاومة للماء وعمل كل ما يلزم طبقا لاصول الصناعة والمخططات وتعليمات المهندس المشرف</t>
  </si>
  <si>
    <t>غرف الكهرباء أعمال دهانات بروفايل</t>
  </si>
  <si>
    <t>اعمال اعتيادية مباني معمارية 23</t>
  </si>
  <si>
    <t>بالمتر المربع توريد وعمل دهانات بروفايل للجدران الخارجية والواجهات على ان تكون الدهانات مقاومة للماء مع عمل طبقة الاساس اوجه للدهانات طبقا لاصول الصناعة والمخططات وتعليمات المهندس المشرف 0</t>
  </si>
  <si>
    <t>غرف الكهرباء باب حديد ب1</t>
  </si>
  <si>
    <t>اعمال اعتيادية مباني معمارية 24</t>
  </si>
  <si>
    <t>بالعدد توريد وتركيب ابواب مفصلية من ابواب حديدية مجلفنة مقاومة للحريق لمدة 90 دقيقة ( ب1) من قطاعات الحديد يكسوها صاج من الجهتين مقاس (25×3)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</si>
  <si>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غرف الكهرباء شباك الومنيوم ش1</t>
  </si>
  <si>
    <t>اعمال اعتيادية مباني معمارية 25</t>
  </si>
  <si>
    <t>بالعدد توريد وتركيب شباك الومنيوم ش1 مفصلي مقاس( 2×2 ) م الخاص بغرفة المحول و الجهد المتوسط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</si>
  <si>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 الكهرباء شباك الومنيوم ش2</t>
  </si>
  <si>
    <t>اعمال اعتيادية مباني معمارية 26</t>
  </si>
  <si>
    <t>بالعدد توريد وتركيب شباك الومنيوم ش2 مفصلي مقاس( 33×2 ) م الخاص بغرفة المولد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</si>
  <si>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غرفة المضخات مبانى من البلوك 30 سم حاوئط خارجية</t>
  </si>
  <si>
    <t>اعمال اعتيادية مباني معمارية 27</t>
  </si>
  <si>
    <t>الاعمال الاعتيادية غرفة المضخات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وكل مايلزم لنهو الأعمال حسب المخططات والمواصفات و تعليمات المهندس المشرف</t>
  </si>
  <si>
    <t>غرفة المضخات نظام تغطيةالأسطح</t>
  </si>
  <si>
    <t>اعمال اعتيادية مباني معمارية 28</t>
  </si>
  <si>
    <t>المتر المسطح -نظام تغطيةالأسطح يتألف من بلاطات رصف اسمنتي مقاس 300 × 300 × 25 مم مع عمل وزرة بارتفاع 100 مم على طبقة مونة سمك 20 مم فاصل عازل حرارى صلب بسمك (50مم) ، وغشاء عازل للمياه ( Membrane -EPDM ) سمك 4 مم وفرشة خرسانية خفيفة الوزن لتشكيل الميول للصرف حيثما طلبت مع تشكيل المثلث الركني للفرشة عند الأركان ومد الغشاء العازل للمياه لأعلى والحشوه المعدنيه ومواد الاحكام والتثبيت الكل حسب بالرسومات و المواصفات الفنية</t>
  </si>
  <si>
    <t>غرفة المضخات ابواب معدنية ب2</t>
  </si>
  <si>
    <t>اعمال اعتيادية مباني معمارية 29</t>
  </si>
  <si>
    <t>بنموذج D02 مقاس 2200 × 2200 مم</t>
  </si>
  <si>
    <t>غرفة مضخات أعمال دهانات بروفايل</t>
  </si>
  <si>
    <t>اعمال اعتيادية مباني معمارية 30</t>
  </si>
  <si>
    <t>بالمتر المسطح توريد وعمل دهانات رمادي فاتح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</si>
  <si>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خرسانية بلوك 30 سم حوائط خارجية</t>
  </si>
  <si>
    <t>اعمال اعتيادية مباني معمارية 31</t>
  </si>
  <si>
    <t>الاعمال الاعتيادية للبوابة و غرفة الحراسة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المشرف2017</t>
  </si>
  <si>
    <t>غرفة الحراسة أعمال خرسانية بلوك 10 سم حوائط داخلية</t>
  </si>
  <si>
    <t>اعمال اعتيادية مباني معمارية 32</t>
  </si>
  <si>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</si>
  <si>
    <t>غرفة الحراسة أعمال لياسة للحوائط الداخلية</t>
  </si>
  <si>
    <t>اعمال اعتيادية مباني معمارية 33</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</si>
  <si>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</si>
  <si>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لياسة للحوائط الخارجية</t>
  </si>
  <si>
    <t>اعمال اعتيادية مباني معمارية 34</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</si>
  <si>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</si>
  <si>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دهانات داخلية</t>
  </si>
  <si>
    <t>اعمال اعتيادية مباني معمارية 35</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</si>
  <si>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</si>
  <si>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رشة امريكية</t>
  </si>
  <si>
    <t>اعمال اعتيادية مباني معمارية 36</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</si>
  <si>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</si>
  <si>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بروفايل</t>
  </si>
  <si>
    <t>اعمال اعتيادية مباني معمارية 37</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</si>
  <si>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</si>
  <si>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دهانات للتغطية المعدنية</t>
  </si>
  <si>
    <t>اعمال اعتيادية مباني معمارية 38</t>
  </si>
  <si>
    <t>بالمتر المسطح توريد وعمل دهانات لزوم التغطية المعدنية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</si>
  <si>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تركيب سفل جرانيت</t>
  </si>
  <si>
    <t>اعمال اعتيادية مباني معمارية 39</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</si>
  <si>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</si>
  <si>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غرفة الحراسة تركيب بلاط بورسيلان</t>
  </si>
  <si>
    <t>اعمال اعتيادية مباني معمارية 40</t>
  </si>
  <si>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</si>
  <si>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غرفة الحراسة تركيب بلاط سيراميك</t>
  </si>
  <si>
    <t>اعمال اعتيادية مباني معمارية 41</t>
  </si>
  <si>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</si>
  <si>
    <t>غرفة الحراسة تركيب حوائط سيراميك</t>
  </si>
  <si>
    <t>اعمال اعتيادية مباني معمارية 42</t>
  </si>
  <si>
    <t>بالمتر المسطح – 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</si>
  <si>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غرفة الحراسة أعمال خرسانه خفيفة</t>
  </si>
  <si>
    <t>اعمال اعتيادية مباني معمارية 43</t>
  </si>
  <si>
    <t>بالمتر المسطح توريد وصب خرسانة (خفيفة) لميول الاسطح بسمك 7 سم طبقا للمواصفات واصول الصناعة وتعليمات المهندس المشرف</t>
  </si>
  <si>
    <t>غرفة الحراسة أعمال دهان بيتومين</t>
  </si>
  <si>
    <t>اعمال اعتيادية مباني معمارية 44</t>
  </si>
  <si>
    <t>بالمتر المسطح توريد و دهان وجهين بالبيتومين الساخن لزوم عزل الرطوبه الاسطح حسب المخططات والمواصفات وتعليمات المهندس المشرف</t>
  </si>
  <si>
    <t>غرفة الحراسة تركيب شرائح بيتومين مقوى</t>
  </si>
  <si>
    <t>اعمال اعتيادية مباني معمارية 45</t>
  </si>
  <si>
    <t>بالمتر المسطح توريد وتركيب طبقتين من شرائح البيتومين المقوى بالياف البوليستر سماكة 3 مم لكل طبقة لزوم ا سطح المبانى ومحمل عليه الوزرة الالمونيوم وخرسانة الحماية للعزل بسمك لا يقل عن 5 سم حسب المخططات والمواصفات وتعليمات المهندس المشرف</t>
  </si>
  <si>
    <t>غرفة الحراسة أعمال عزل</t>
  </si>
  <si>
    <t>اعمال اعتيادية مباني معمارية 46</t>
  </si>
  <si>
    <t>غرفة الحراسة تركيب شرائح بوليثيلين</t>
  </si>
  <si>
    <t>اعمال اعتيادية مباني معمارية 47</t>
  </si>
  <si>
    <t>غرفة الحراسة أعمال عزل للرطوبة</t>
  </si>
  <si>
    <t>اعمال اعتيادية مباني معمارية 48</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</si>
  <si>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 2004</t>
  </si>
  <si>
    <t>غرفة الحراسة تركيب بلاط موزايكو</t>
  </si>
  <si>
    <t>اعمال اعتيادية مباني معمارية 49</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</si>
  <si>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</si>
  <si>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غرفة الحراسة باب خشب ب1</t>
  </si>
  <si>
    <t>اعمال اعتيادية مباني معمارية 50</t>
  </si>
  <si>
    <t>بالعدد توريد وتركيب باب من خشب كبس (ب 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</si>
  <si>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غرفة الحراسة ابواب ب2</t>
  </si>
  <si>
    <t>اعمال اعتيادية مباني معمارية 51</t>
  </si>
  <si>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</si>
  <si>
    <t>غرفة الحراسة شباك الومنيوم ش2</t>
  </si>
  <si>
    <t>اعمال اعتيادية مباني معمارية 52</t>
  </si>
  <si>
    <t>بالعدد - توريد وتركيب شباك الومنيوم " ش 2 " مفصلي مقاس(160 × 140)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</si>
  <si>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أعمال خرسانية بلوك 30 سم حوائط خارجية</t>
  </si>
  <si>
    <t>اعمال اعتيادية مباني معمارية 53</t>
  </si>
  <si>
    <t>الاعمال الاعتيادية لسكن العمال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2017 - 2004</t>
  </si>
  <si>
    <t>سكن العمال أعمال خرسانية بلوك 20 سم حوائط داخلية</t>
  </si>
  <si>
    <t>اعمال اعتيادية مباني معمارية 54</t>
  </si>
  <si>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</si>
  <si>
    <t>سكن العمال أعمال خرسانية بلوك 10 سم حوائط داخلية</t>
  </si>
  <si>
    <t>اعمال اعتيادية مباني معمارية 55</t>
  </si>
  <si>
    <t>سكن العمال أعمال خرسانية بلوك 10 سم حوائط خارجية</t>
  </si>
  <si>
    <t>اعمال اعتيادية مباني معمارية 56</t>
  </si>
  <si>
    <t>بالمتر المسطح - توريد وعمل مباني من البلوك سمك 10 سم لزوم مباني الحوائط الخارجية منطقة الكولسترا الخارجية مؤلفه من بلوك أسمنتى والسعر يشمل طبان 20 سم من الخرسانة وكل مايلزم لإنهاء الأعمال حسب المخططات والمواصفات و تعليمات المهندس المشرف</t>
  </si>
  <si>
    <t>سكن العمال أعمال لياسة للحوائط الخارجية</t>
  </si>
  <si>
    <t>اعمال اعتيادية مباني معمارية 57</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</si>
  <si>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</si>
  <si>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لياسة للحوائط الداخلية</t>
  </si>
  <si>
    <t>اعمال اعتيادية مباني معمارية 58</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</si>
  <si>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</si>
  <si>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دهانات للجدران الداخلية</t>
  </si>
  <si>
    <t>اعمال اعتيادية مباني معمارية 59</t>
  </si>
  <si>
    <t>سكن العمال أعمال دهان رشة امريكية</t>
  </si>
  <si>
    <t>اعمال اعتيادية مباني معمارية 60</t>
  </si>
  <si>
    <t>سكن العمال أعمال دهانات بروفايل</t>
  </si>
  <si>
    <t>اعمال اعتيادية مباني معمارية 61</t>
  </si>
  <si>
    <t>سكن العمال تركيب سفل جرانيت</t>
  </si>
  <si>
    <t>اعمال اعتيادية مباني معمارية 62</t>
  </si>
  <si>
    <t>سكن العمال تركيب درج خارجى وداخلى</t>
  </si>
  <si>
    <t>اعمال اعتيادية مباني معمارية 63</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</si>
  <si>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</si>
  <si>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سكن العمال تركيب وزرة رخام</t>
  </si>
  <si>
    <t>اعمال اعتيادية مباني معمارية 64</t>
  </si>
  <si>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</si>
  <si>
    <t>سكن العمال تركيب رخام</t>
  </si>
  <si>
    <t>اعمال اعتيادية مباني معمارية 65</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</si>
  <si>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t>
  </si>
  <si>
    <t>سكن العمال تركيب بلاط بورسيلان</t>
  </si>
  <si>
    <t>اعمال اعتيادية مباني معمارية 66</t>
  </si>
  <si>
    <t>سكن العمال تركيب سيراميك</t>
  </si>
  <si>
    <t>اعمال اعتيادية مباني معمارية 67</t>
  </si>
  <si>
    <t>سكن العمال تركيب حوائط سيراميك</t>
  </si>
  <si>
    <t>اعمال اعتيادية مباني معمارية 68</t>
  </si>
  <si>
    <t>سكن العمال أعمال خرسانة خفيفة</t>
  </si>
  <si>
    <t>اعمال اعتيادية مباني معمارية 69</t>
  </si>
  <si>
    <t>سكن العمال أعمال دهان بيتومين</t>
  </si>
  <si>
    <t>اعمال اعتيادية مباني معمارية 70</t>
  </si>
  <si>
    <t>سكن العمال تركيب شرائح بيتومين</t>
  </si>
  <si>
    <t>اعمال اعتيادية مباني معمارية 71</t>
  </si>
  <si>
    <t>سكن العمال أعمال عزل</t>
  </si>
  <si>
    <t>اعمال اعتيادية مباني معمارية 72</t>
  </si>
  <si>
    <t>سكن العمال تركيب شرائح بوليثيلين</t>
  </si>
  <si>
    <t>اعمال اعتيادية مباني معمارية 73</t>
  </si>
  <si>
    <t>سكن العمال أعمال عزل للرطوبة</t>
  </si>
  <si>
    <t>اعمال اعتيادية مباني معمارية 74</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</si>
  <si>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</si>
  <si>
    <t>سكن العمال تركيب بلاط موزايكو</t>
  </si>
  <si>
    <t>اعمال اعتيادية مباني معمارية 75</t>
  </si>
  <si>
    <t>سكن العمال تركيب سلم بحارى</t>
  </si>
  <si>
    <t>اعمال اعتيادية مباني معمارية 76</t>
  </si>
  <si>
    <t>بالمتر الطولي - توريد وتركيب (سلم بحاري) من الحديد شامل الدهان وجهين سلاقون ووجهين ببوية الزيت بعرض 70سم لزوم الصعود لسطح السلالم والمناور حسب المخططات والمواصفات وتعليمات المهندس المشرف</t>
  </si>
  <si>
    <t>سكن العمال باب حديد ب</t>
  </si>
  <si>
    <t>اعمال اعتيادية مباني معمارية 77</t>
  </si>
  <si>
    <t>بالعدد توريد وتركيب باب حديد مجلفن مقاومة للحريق لمدة 90 دقيقة ( ب1) من قطاعات الحديد يكسوها صاج من الجهتين مقاس (200×220) م لزوم باب المدخل الرئيسي والسعر يشمل الدهان والاكسسوارات وكل مايلزم لانهاء العمل طبقا لاصول الصناعة وتعليمات المهندس المشرف 2011</t>
  </si>
  <si>
    <t>سكن العمال باب خشب ب2</t>
  </si>
  <si>
    <t>اعمال اعتيادية مباني معمارية 78</t>
  </si>
  <si>
    <t>بالعدد توريد وتركيب باب من خشب كبس (ب2 ) (ضلفة) بمقاس ( 100 *220 ) م صافي فتحة الباب بعد التشطيب لزوم باب الغرف و المغسلة والمطبخ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</si>
  <si>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سكن العمال ابواب مقاومة للماء ب3</t>
  </si>
  <si>
    <t>اعمال اعتيادية مباني معمارية 79</t>
  </si>
  <si>
    <t>بالعدد توريد وتركيب ابواب مصنعة من مادة Wpc الصديقة للبيئة والمقاومة للماء والتعفن والانشاق والخدش ودرجات الحراة والحشرات (ب3) (ضلفة واحدة ) بمقاس 090م×220م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</si>
  <si>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مقاومة للماء ب 4</t>
  </si>
  <si>
    <t>اعمال اعتيادية مباني معمارية 80</t>
  </si>
  <si>
    <t>بالعدد توريد وتركيب ابواب مصنعة من مادة Wpc الصديقة للبيئة والمقاومة للماء والتعفن والانشاق والخدش ودرجات الحراة والحشرات (ب4) (ضلفة واحدة ) بمقاس (080×210)م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</si>
  <si>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حديدية مجلفنة مقاومة للحريق ب 4</t>
  </si>
  <si>
    <t>اعمال اعتيادية مباني معمارية 81</t>
  </si>
  <si>
    <t>بالعدد توريد وتركيب ابواب مفصلية من ابواب حديدية مجلفنة مقاومة للحريق لمدة 90 دقيقة ( ب4) من قطاعات الحديد يكسوها صاج من الجهتين مقاس (100×225) م لزوم باب المدخل الرئيسي والسعر يشمل الدهان والاكسسوارات وكل مايلزم لانهاء العمل طبقا لاصول الصناعة وتعليمات المهندس المشرف</t>
  </si>
  <si>
    <t>سكن العمال شباك الومنيوم ش1</t>
  </si>
  <si>
    <t>اعمال اعتيادية مباني معمارية 82</t>
  </si>
  <si>
    <t>بالعدد توريد وتركيب شباك الومنيوم ش1 سحاب مقاس( 120×130 ) م العاكس المزدوج والمقاوم بسمك 28 مم ( 8+12+8 ) مم الخاص بالجزء الاداري على ان يتم تثبيتة بواسطة قطاع المنيوم سمك 3 مم مقاس 16*5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</si>
  <si>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ش2</t>
  </si>
  <si>
    <t>اعمال اعتيادية مباني معمارية 83</t>
  </si>
  <si>
    <t>بالعدد توريد وتركيب شباك الومنيوم ش2 سحاب مقاس( 090×150)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</si>
  <si>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ش3</t>
  </si>
  <si>
    <t>اعمال اعتيادية مباني معمارية 84</t>
  </si>
  <si>
    <t>بالعدد توريد وتركيب شباك الومنيوم ش3 مفصلي مقاس( 060×060)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</si>
  <si>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ش4</t>
  </si>
  <si>
    <t>اعمال اعتيادية مباني معمارية 85</t>
  </si>
  <si>
    <t>بالعدد توريد وتركيب شباك الومنيوم ش4 مفصلي مقاس( 060×160)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لنهو البند ويجب على المقاول تقديم عينات للاعتماد وإختيار اللون والنوع من قبل المهندس المشرف طبقا للمخططات والمواصفات والشروط الفنية</t>
  </si>
  <si>
    <t>سكن العمال تركيب دواليب علوية</t>
  </si>
  <si>
    <t>اعمال اعتيادية مباني معمارية 86</t>
  </si>
  <si>
    <t>بالمتر الطولى توريد وتركيب دواليب جدارية علوية بارتفاع 60 سم وعرض 40 سم للمطابخ من الالمنيوم وألواح الفورمايكا طبقا للعينة المعتمدة من المهندس المشرف وعمل كل ما يلزم لانهاء العمل طبقا لاصول الصناعة وتعليمات المهندس المشرف</t>
  </si>
  <si>
    <t>سكن العمال تركيب دواليب سفلية</t>
  </si>
  <si>
    <t>اعمال اعتيادية مباني معمارية 87</t>
  </si>
  <si>
    <t>بالمتر الطولى توريد وتركيب دواليب جدارية سفلية بارتفاع 90 سم وعرض 50 سم للمطابخ من الالمنيوم وألواح الفورمايكا طبقا للعينة المعتمدة من المهندس المشرف والسعر محمل علية توريد وتركيب الرخام الصناعي أعلى الدولاب بسمك 2 سم م وعمل كل ما يلزم لانهاء العمل طبقا لاصول الصناعة وتعليمات المهندس المشرف</t>
  </si>
  <si>
    <t>مبنى العيادة أعمال خرسانية بلوك 30 سم حوائط خارجية</t>
  </si>
  <si>
    <t>اعمال اعتيادية مباني معمارية 88</t>
  </si>
  <si>
    <t>الاعمال الاعتيادية مبنى العيادة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t>
  </si>
  <si>
    <t>مبنى العيادة أعمال خرسانية بلوك 10 سم حوائط داخلية</t>
  </si>
  <si>
    <t>اعمال اعتيادية مباني معمارية 89</t>
  </si>
  <si>
    <t>مبنى العيادة أعمال لياسة للحوائط الداخلية</t>
  </si>
  <si>
    <t>اعمال اعتيادية مباني معمارية 90</t>
  </si>
  <si>
    <t>مبنى العيادة أعمال لياسة للحوائط الخارجية</t>
  </si>
  <si>
    <t>اعمال اعتيادية مباني معمارية 91</t>
  </si>
  <si>
    <t>مبنى العيادة أعمال دهانات داخلية</t>
  </si>
  <si>
    <t>اعمال اعتيادية مباني معمارية 92</t>
  </si>
  <si>
    <t>مبنى العيادة أعمال دهانات رشة امريكية</t>
  </si>
  <si>
    <t>اعمال اعتيادية مباني معمارية 93</t>
  </si>
  <si>
    <t>مبنى العيادة أعمال دهانات بروفايل</t>
  </si>
  <si>
    <t>اعمال اعتيادية مباني معمارية 94</t>
  </si>
  <si>
    <t>مبنى العيادة أعمال دهانات للتغطية المعدنية</t>
  </si>
  <si>
    <t>اعمال اعتيادية مباني معمارية 95</t>
  </si>
  <si>
    <t>مبنى العيادة تركيب سفل جرانيت</t>
  </si>
  <si>
    <t>اعمال اعتيادية مباني معمارية 96</t>
  </si>
  <si>
    <t>مبنى العيادة تركيب بلاط بورسيلان</t>
  </si>
  <si>
    <t>اعمال اعتيادية مباني معمارية 97</t>
  </si>
  <si>
    <t>مبنى العيادة تركيب بلاط سيراميك</t>
  </si>
  <si>
    <t>اعمال اعتيادية مباني معمارية 98</t>
  </si>
  <si>
    <t>مبنى العيادة تركيب سيراميك للحوائط</t>
  </si>
  <si>
    <t>اعمال اعتيادية مباني معمارية 99</t>
  </si>
  <si>
    <t>مبنى العيادة أعمال خرسانه خفيفة</t>
  </si>
  <si>
    <t>اعمال اعتيادية مباني معمارية 100</t>
  </si>
  <si>
    <t>مبنى العيادة أعمال دهان بيتومين</t>
  </si>
  <si>
    <t>اعمال اعتيادية مباني معمارية 101</t>
  </si>
  <si>
    <t>مبنى العيادة تركيب شرائح بيتومين مقوى</t>
  </si>
  <si>
    <t>اعمال اعتيادية مباني معمارية 102</t>
  </si>
  <si>
    <t>مبنى العيادة أعمال عزل</t>
  </si>
  <si>
    <t>اعمال اعتيادية مباني معمارية 103</t>
  </si>
  <si>
    <t>مبنى العيادة تركيب شرائح بوليثيلين</t>
  </si>
  <si>
    <t>اعمال اعتيادية مباني معمارية 104</t>
  </si>
  <si>
    <t>مبنى العيادة أعمال عزل للرطوبة</t>
  </si>
  <si>
    <t>اعمال اعتيادية مباني معمارية 105</t>
  </si>
  <si>
    <t>مبنى العيادة تركيب بلاط موزايكو</t>
  </si>
  <si>
    <t>اعمال اعتيادية مباني معمارية 106</t>
  </si>
  <si>
    <t>مبنى العيادة باب خشب ب1</t>
  </si>
  <si>
    <t>اعمال اعتيادية مباني معمارية 107</t>
  </si>
  <si>
    <t>مبنى العيادة ابواب ب2</t>
  </si>
  <si>
    <t>اعمال اعتيادية مباني معمارية 108</t>
  </si>
  <si>
    <t>مبنى العيادة شباك الومنيوم ش2</t>
  </si>
  <si>
    <t>اعمال اعتيادية مباني معمارية 109</t>
  </si>
  <si>
    <t>مخزن الاعلاف أعمال دهانات إيبوكسيه أ</t>
  </si>
  <si>
    <t>اعمال اعتيادية مباني معمارية 110</t>
  </si>
  <si>
    <t>مخزن الاعلاف 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</si>
  <si>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أعمال خرسانية بلوكات 300 مم</t>
  </si>
  <si>
    <t>اعمال اعتيادية مباني معمارية 111</t>
  </si>
  <si>
    <t>بلوكات من الطوب المعزول سمك 300 مم ( 150 بلوك +50 مم عزل حرارى+100مم بلوك)</t>
  </si>
  <si>
    <t>مخزن الاعلاف أعمال دهانات بلاستيك للحوائط الداخليه</t>
  </si>
  <si>
    <t>اعمال اعتيادية مباني معمارية 112</t>
  </si>
  <si>
    <t>توريد وعمل دهانات بلاستيك للحوائط الداخليه والسعر يشمل بياض التخشين الاسمنتي سمك 20 مم اسفل الدهانات شاملاً كل الإكسسوارات المعدنيه المطلوبه ويشمل تجهيز الأسطح وعمل 3 اوجه من الدهانات باللون المطلوب والسعر يشمل جميع الإكسسوارات طبقاً لتعليمات المهندس وذلك طبقاً لمخططات ومستندات التعاقد وتوصيات الشركه المنتجه علي ان تعتمد العينات من المهندس قبل التوريد</t>
  </si>
  <si>
    <t>مخزن الاعلاف أعمال دهانات إيبوكسيه ب</t>
  </si>
  <si>
    <t>اعمال اعتيادية مباني معمارية 113</t>
  </si>
  <si>
    <t>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</si>
  <si>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تركيب أبواب معدنيه منزلقه</t>
  </si>
  <si>
    <t>اعمال اعتيادية مباني معمارية 114</t>
  </si>
  <si>
    <t>توريد وتركيب أبواب معدنيه منزلقه لاعلي والسعر يشمل الحلوق والإطارات المعدنيه والدهانات ونظام التشغيل الميكانيكي والموتور والتوصيلات الكهربائيه ومفتاح التشغيل والخردوات والضلف المنزلقه ودلائل الحركه وجميع الإكسسوارات وذلك طبقاً لمخططات ومستندات التعاقد وتعليمات الشركه المنتجه علي ان يقوم المقاول بتقديم مخططات الورشه للمهندس للإعتماد قبل التركيب</t>
  </si>
  <si>
    <t>بيت شعر</t>
  </si>
  <si>
    <t>اعمال اعتيادية مباني معمارية 115</t>
  </si>
  <si>
    <t>توريد وتركيب بيت شعر بمساحة 45 متر مربع مبطن من الجوانب فقط و السقف اسود و ارتفاع الجوانب 180سم +40 سم بلاستك يدفن تحت التراب لمنع دخول الغبار أو اي شيء أخر</t>
  </si>
  <si>
    <t>الحظائر</t>
  </si>
  <si>
    <t>اعمال اعتيادية انشائي 1</t>
  </si>
  <si>
    <t>الاعمال الانشائية للحظائر : على المقاول تقديم و اعتماد شركات متخصصة فى توريد و تنفيذ اعمال الحديد المجلفن على البارد باستخدام انواع حديد مطابقة للمواصفات و الكود السعودى و تقديمها للإعتماد وأعتماد المخططات من الاستشارى قبل البدء فى تنفيذ الأعمال وتسليم المشروع للاستشارى بعد إنتهاء الأعمال و العمل شامل الحفر و الردم و القواعد الخرسانية و السياج حول الحظائر اللازمة لانهاء العمل طبقاً لأصول الصناعة وتعليمات المهندس المشرف</t>
  </si>
  <si>
    <t>غرفه مولد الكهرباء اعمال الحفر</t>
  </si>
  <si>
    <t>اعمال اعتيادية انشائي 2</t>
  </si>
  <si>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</si>
  <si>
    <t>م3</t>
  </si>
  <si>
    <t>غرفه مولد الكهرباء اعمال الردم</t>
  </si>
  <si>
    <t>اعمال اعتيادية انشائي 3</t>
  </si>
  <si>
    <t>اعمال الردم بمواد ردم إنشائية موردة معتمدة ومنتقاة بما في ذلك أعمال الدك اللازمة لتعويض المناسيب حول المبنى حسب المواصفات</t>
  </si>
  <si>
    <t>غرفه مولد الكهرباء أعمال خرسانة عادية</t>
  </si>
  <si>
    <t>اعمال اعتيادية انشائي 4</t>
  </si>
  <si>
    <t>توريد وعمل خرسانة عادية ( C24 ) أسفل القواعد بسماكة 100 مم طبقا للمواصفات على أن يكون الأسمنت مقاوم لأملاح الكبريتات</t>
  </si>
  <si>
    <t>غرفه مولد الكهرباء أعمال خرسانة مسلحة للقواعد</t>
  </si>
  <si>
    <t>اعمال اعتيادية انشائي 5</t>
  </si>
  <si>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</si>
  <si>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للميدات</t>
  </si>
  <si>
    <t>اعمال اعتيادية انشائي 6</t>
  </si>
  <si>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</si>
  <si>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لرقابى الاعمدة</t>
  </si>
  <si>
    <t>اعمال اعتيادية انشائي 7</t>
  </si>
  <si>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</si>
  <si>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تركيب بلاطة ارضية</t>
  </si>
  <si>
    <t>اعمال اعتيادية انشائي 8</t>
  </si>
  <si>
    <t>بلاطة ارضية سماكة 150 ملم ( خرسانة ملساء)</t>
  </si>
  <si>
    <t>غرفه مولد الكهرباء أعمال خرسانة مسلحة للاعمدة</t>
  </si>
  <si>
    <t>اعمال اعتيادية انشائي 9</t>
  </si>
  <si>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</si>
  <si>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 للكمرات</t>
  </si>
  <si>
    <t>اعمال اعتيادية انشائي 10</t>
  </si>
  <si>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</si>
  <si>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مسلحة200مم</t>
  </si>
  <si>
    <t>اعمال اعتيادية انشائي 11</t>
  </si>
  <si>
    <t>توريد وعمل خرسانة مسلحة ( C 30 ) للبلاطات المصمتة سمك 200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</si>
  <si>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مسلحة160مم</t>
  </si>
  <si>
    <t>اعمال اعتيادية انشائي 12</t>
  </si>
  <si>
    <t>توريد وعمل خرسانة مسلحة ( C 30 ) للبلاطات المصمتة سمك 160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</si>
  <si>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تركيب غشاء بولى اثيلين</t>
  </si>
  <si>
    <t>اعمال اعتيادية انشائي 13</t>
  </si>
  <si>
    <t>غشاء بولي اثيلين عيار 1000(أسفل البلاطه الأرضية والقواعد والميدات والمنحدرات )</t>
  </si>
  <si>
    <t>غرفه مولد الكهرباء تركيب غشاء بيتومينى</t>
  </si>
  <si>
    <t>اعمال اعتيادية انشائي 14</t>
  </si>
  <si>
    <t>تحضير السطوح وتنفيذ طبقتي غشاء بيتوميني سماكة كل منهما 4 ملم وطبقة لياسة سماكة 50 ملم للبلاطات الأرضية</t>
  </si>
  <si>
    <t>غرفه مولد الكهرباء أعمال طلاء بيتومينى</t>
  </si>
  <si>
    <t>اعمال اعتيادية انشائي 15</t>
  </si>
  <si>
    <t>تطبيق وجهين من طلاء بيتومين للمسطحات الخرسانية وطلاء تحضيري اولي اساس (للقواعد والميد و رقـاب الأعمدة والحنادق)</t>
  </si>
  <si>
    <t>سكن العمال اعمال الحفر</t>
  </si>
  <si>
    <t>اعمال اعتيادية انشائي 16</t>
  </si>
  <si>
    <t>سكن العمال اعمال الردم</t>
  </si>
  <si>
    <t>اعمال اعتيادية انشائي 17</t>
  </si>
  <si>
    <t>سكن العمال أعمال خرسانة عادية</t>
  </si>
  <si>
    <t>اعمال اعتيادية انشائي 18</t>
  </si>
  <si>
    <t>سكن العمال أعمال خرسانة مسلحة للقواعد</t>
  </si>
  <si>
    <t>اعمال اعتيادية انشائي 19</t>
  </si>
  <si>
    <t>سكن العمال أعمال خرسانة مسلحة للميدات</t>
  </si>
  <si>
    <t>اعمال اعتيادية انشائي 20</t>
  </si>
  <si>
    <t>سكن العمال أعمال خرسانة مسلحة لرقابى الاعمدة</t>
  </si>
  <si>
    <t>اعمال اعتيادية انشائي 21</t>
  </si>
  <si>
    <t>سكن العمال تركيب بلاطة 150ملم</t>
  </si>
  <si>
    <t>اعمال اعتيادية انشائي 22</t>
  </si>
  <si>
    <t>سكن العمال أعمال خرسانة مسلحة للاعمدة</t>
  </si>
  <si>
    <t>اعمال اعتيادية انشائي 23</t>
  </si>
  <si>
    <t>رقم التسلسلي</t>
  </si>
  <si>
    <t>سكن العمال أعمال خرسانة مسلحة للكمرات</t>
  </si>
  <si>
    <t>اعمال اعتيادية انشائي 24</t>
  </si>
  <si>
    <t>سكن العمال أعمال خرسانة مسلحة160مم</t>
  </si>
  <si>
    <t>اعمال اعتيادية انشائي 25</t>
  </si>
  <si>
    <t>توريد وعمل خرسانة مسلحة ( C 30 ) للبلاطات المصمتة سمك 160مم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</si>
  <si>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أعمال خرسانة مسلحة240مم</t>
  </si>
  <si>
    <t>اعمال اعتيادية انشائي 26</t>
  </si>
  <si>
    <t>توريد وعمل خرسانة مسلحة ( C 30 ) للبلاطات المصمتة سمك 240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</si>
  <si>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تركيب غشاء بولى اثيلين</t>
  </si>
  <si>
    <t>اعمال اعتيادية انشائي 27</t>
  </si>
  <si>
    <t>سكن العمال تركيب غشاء بيتومينى</t>
  </si>
  <si>
    <t>اعمال اعتيادية انشائي 28</t>
  </si>
  <si>
    <t>سكن العمال أعمال طلاء بيتومينى</t>
  </si>
  <si>
    <t>اعمال اعتيادية انشائي 29</t>
  </si>
  <si>
    <t>غرفة الحراسة اعمال الحفر</t>
  </si>
  <si>
    <t>اعمال اعتيادية انشائي 30</t>
  </si>
  <si>
    <t>غرفة الحراسة اعمال الردم</t>
  </si>
  <si>
    <t>اعمال اعتيادية انشائي 31</t>
  </si>
  <si>
    <t>غرفة الحراسة أعمال خرسانة عادية</t>
  </si>
  <si>
    <t>اعمال اعتيادية انشائي 32</t>
  </si>
  <si>
    <t>غرفة الحراسة أعمال خرسانة مسلحة للقواعد</t>
  </si>
  <si>
    <t>اعمال اعتيادية انشائي 33</t>
  </si>
  <si>
    <t>غرفة الحراسة أعمال خرسانة مسلحة للميدات</t>
  </si>
  <si>
    <t>اعمال اعتيادية انشائي 34</t>
  </si>
  <si>
    <t>غرفة الحراسة أعمال خرسانة مسلحة لرقابى الاعمدة</t>
  </si>
  <si>
    <t>اعمال اعتيادية انشائي 35</t>
  </si>
  <si>
    <t>غرفة الحراسة تركيب بلاطة ارضية</t>
  </si>
  <si>
    <t>اعمال اعتيادية انشائي 36</t>
  </si>
  <si>
    <t>غرفة الحراسة أعمال خرسانة مسلحة للاعمدة</t>
  </si>
  <si>
    <t>اعمال اعتيادية انشائي 37</t>
  </si>
  <si>
    <t>غرفة الحراسة أعمال خرسانة مسلحة للكمرات</t>
  </si>
  <si>
    <t>اعمال اعتيادية انشائي 38</t>
  </si>
  <si>
    <t>غرفة الحراسة أعمال خرسانة مسلحة 200 مم</t>
  </si>
  <si>
    <t>اعمال اعتيادية انشائي 39</t>
  </si>
  <si>
    <t>غرفة الحراسة تركيب غشاء بولى اثيلين</t>
  </si>
  <si>
    <t>اعمال اعتيادية انشائي 40</t>
  </si>
  <si>
    <t>غرفة الحراسة تركيب غشاء بيوتمينى</t>
  </si>
  <si>
    <t>اعمال اعتيادية انشائي 41</t>
  </si>
  <si>
    <t>غرفة الحراسة أعمال طلاء بيتومينى</t>
  </si>
  <si>
    <t>اعمال اعتيادية انشائي 42</t>
  </si>
  <si>
    <t>خزان الوقود اعمال الحفر</t>
  </si>
  <si>
    <t>اعمال اعتيادية انشائي 43</t>
  </si>
  <si>
    <t>خزان الوقود اعمال الردم</t>
  </si>
  <si>
    <t>اعمال اعتيادية انشائي 44</t>
  </si>
  <si>
    <t>خزان الوقود أعمال خرسانة عادية</t>
  </si>
  <si>
    <t>اعمال اعتيادية انشائي 45</t>
  </si>
  <si>
    <t>خزان الوقود أعمال خرسانة مسلحة للقواعد</t>
  </si>
  <si>
    <t>اعمال اعتيادية انشائي 46</t>
  </si>
  <si>
    <t>خزان الوقود أعمال خرسانة مسلحة للاعمدة</t>
  </si>
  <si>
    <t>اعمال اعتيادية انشائي 47</t>
  </si>
  <si>
    <t>خزان الوقود أعمال خرسانة مسلحة للكمرات</t>
  </si>
  <si>
    <t>اعمال اعتيادية انشائي 48</t>
  </si>
  <si>
    <t>خزان الوقود تركيب بلاطة</t>
  </si>
  <si>
    <t>اعمال اعتيادية انشائي 49</t>
  </si>
  <si>
    <t>بلاطة مسبقة الصنع</t>
  </si>
  <si>
    <t>خزان الوقود تركيب غشاء بولى اثيلين</t>
  </si>
  <si>
    <t>اعمال اعتيادية انشائي 50</t>
  </si>
  <si>
    <t>خزان الوقود تركيب غشاء بيتومبنى</t>
  </si>
  <si>
    <t>اعمال اعتيادية انشائي 51</t>
  </si>
  <si>
    <t>خزان الوقود أعمال طلاء بيتومبنى</t>
  </si>
  <si>
    <t>اعمال اعتيادية انشائي 52</t>
  </si>
  <si>
    <t>خزان الصرف الصحي اعمال الحفر</t>
  </si>
  <si>
    <t>اعمال اعتيادية انشائي 53</t>
  </si>
  <si>
    <t>خزان الصرف الصحي اعمال الردم</t>
  </si>
  <si>
    <t>اعمال اعتيادية انشائي 54</t>
  </si>
  <si>
    <t>خزان الصرف الصحي أعمال خرسانة عادية</t>
  </si>
  <si>
    <t>اعمال اعتيادية انشائي 55</t>
  </si>
  <si>
    <t>خزان الصرف الصحي أعمال خرسانة مسلحة للقواعد</t>
  </si>
  <si>
    <t>اعمال اعتيادية انشائي 56</t>
  </si>
  <si>
    <t>خزان الصرف الصحي أعمال خرسانة مسلحة للاعمدة</t>
  </si>
  <si>
    <t>اعمال اعتيادية انشائي 57</t>
  </si>
  <si>
    <t>خزان الصرف الصحي أعمال خرسانة مسلحة للبلاطات المصمته</t>
  </si>
  <si>
    <t>اعمال اعتيادية انشائي 58</t>
  </si>
  <si>
    <t>توريد وعمل خرسانة مسلحة ( C 30 ) للبلاطات المصمتة سمك 250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</si>
  <si>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الصرف تركيب غشاء بولى اثيلين</t>
  </si>
  <si>
    <t>اعمال اعتيادية انشائي 59</t>
  </si>
  <si>
    <t>خزان الصرف تركيب غشاء بيتومينى</t>
  </si>
  <si>
    <t>اعمال اعتيادية انشائي 60</t>
  </si>
  <si>
    <t>خزان الصرف أعمال طلاء بيتومينى</t>
  </si>
  <si>
    <t>اعمال اعتيادية انشائي 61</t>
  </si>
  <si>
    <t>خزان مياه اعمال الحفر</t>
  </si>
  <si>
    <t>اعمال اعتيادية انشائي 62</t>
  </si>
  <si>
    <t>خزان مياه اعمال الردم</t>
  </si>
  <si>
    <t>اعمال اعتيادية انشائي 63</t>
  </si>
  <si>
    <t>خزان مياه أعمال خرسانة عادية</t>
  </si>
  <si>
    <t>اعمال اعتيادية انشائي 64</t>
  </si>
  <si>
    <t>خزان مياه أعمال خرسانة مسلحة للقواعد</t>
  </si>
  <si>
    <t>اعمال اعتيادية انشائي 65</t>
  </si>
  <si>
    <t>خزان مياه أعمال خرسانة مسلحة للاعمدة</t>
  </si>
  <si>
    <t>اعمال اعتيادية انشائي 66</t>
  </si>
  <si>
    <t>خزان مياه أعمال خرسانة مسلحة للكمرات</t>
  </si>
  <si>
    <t>اعمال اعتيادية انشائي 67</t>
  </si>
  <si>
    <t>خزان مياه أعمال خرسانة مسلحة للبلاطات المصمتة</t>
  </si>
  <si>
    <t>اعمال اعتيادية انشائي 68</t>
  </si>
  <si>
    <t>توريد وعمل خرسانة مسلحة ( C 30 ) للبلاطات المصمتة سمك 300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</si>
  <si>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مياه تركيب غشاء بولي اثيلين</t>
  </si>
  <si>
    <t>اعمال اعتيادية انشائي 69</t>
  </si>
  <si>
    <t>خزان مياه تركيب غشاء بيتومينى</t>
  </si>
  <si>
    <t>اعمال اعتيادية انشائي 70</t>
  </si>
  <si>
    <t>خزان مياه أعمال طلاء بيتومينى</t>
  </si>
  <si>
    <t>اعمال اعتيادية انشائي 71</t>
  </si>
  <si>
    <t>مبنى العيادة اعمال الحفر</t>
  </si>
  <si>
    <t>اعمال اعتيادية انشائي 72</t>
  </si>
  <si>
    <t>حفر الاساسات من منسوب الأرض الطبيعية</t>
  </si>
  <si>
    <t>مبنى العيادة اعمال الردم</t>
  </si>
  <si>
    <t>اعمال اعتيادية انشائي 73</t>
  </si>
  <si>
    <t>ردميات مختارة توضع حول الجدران والاساسات تدمك وتدك جيدا حسب المواصفات وطبقا لما هو مبين على المخططات</t>
  </si>
  <si>
    <t>مبنى العيادة أعمال خرسانة عادية</t>
  </si>
  <si>
    <t>اعمال اعتيادية انشائي 74</t>
  </si>
  <si>
    <t>سماكة 100 ملم</t>
  </si>
  <si>
    <t>مبنى العيادة أعمال خرسانة مسلحة للقواعد</t>
  </si>
  <si>
    <t>اعمال اعتيادية انشائي 75</t>
  </si>
  <si>
    <t>القواعد ( خرسانة ملساء)</t>
  </si>
  <si>
    <t>مبنى العيادة اعمال خرسانة مسلحة للميدات</t>
  </si>
  <si>
    <t>اعمال اعتيادية انشائي 76</t>
  </si>
  <si>
    <t>الميدات الخرسانية (خرسانة غير ملساء)</t>
  </si>
  <si>
    <t>مبنى العيادة أعمال خرسانة مسلحة لرقابى الاعمدة</t>
  </si>
  <si>
    <t>اعمال اعتيادية انشائي 77</t>
  </si>
  <si>
    <t>رقاب الاعمدة والحوائط ( خرسانة ملساء)</t>
  </si>
  <si>
    <t>مبنى العيادة تركيب بلاطة ارضية 150 مم</t>
  </si>
  <si>
    <t>اعمال اعتيادية انشائي 78</t>
  </si>
  <si>
    <t>بلاطة ارضية سماكة 150 ملم ( خرسانة ملساء) 2041</t>
  </si>
  <si>
    <t>مبنى العيادة تركيب خرسانة مسلحة للاعمدة</t>
  </si>
  <si>
    <t>اعمال اعتيادية انشائي 79</t>
  </si>
  <si>
    <t>الاعمدة والحوائط ( خرسانة ملساء)</t>
  </si>
  <si>
    <t>مبنى العيادة تركيب خرسانة مسلحة للكمرات</t>
  </si>
  <si>
    <t>اعمال اعتيادية انشائي 80</t>
  </si>
  <si>
    <t>الجسور الهابطة والحواف القائمة ( خرسانة ملساء)</t>
  </si>
  <si>
    <t>مبنى العيادة تركيب خرسانة مسلحة 200 مم</t>
  </si>
  <si>
    <t>اعمال اعتيادية انشائي 81</t>
  </si>
  <si>
    <t>بلاطة مصمتة معلقة سماكة 200 ملم ( خرسانة ملساء)</t>
  </si>
  <si>
    <t>مبنى العيادة تركيب غشاء بولى اثيلين</t>
  </si>
  <si>
    <t>اعمال اعتيادية انشائي 82</t>
  </si>
  <si>
    <t>مبنى العيادة تركيب غشاء بيوتمينى</t>
  </si>
  <si>
    <t>اعمال اعتيادية انشائي 83</t>
  </si>
  <si>
    <t>مبنى العيادة أعمال طلاء بيتومينى</t>
  </si>
  <si>
    <t>اعمال اعتيادية انشائي 84</t>
  </si>
  <si>
    <t>مبنى مستودع الاعلاف أعمال حفر</t>
  </si>
  <si>
    <t>اعمال اعتيادية انشائي 85</t>
  </si>
  <si>
    <t>الحفر في جميع أنواع التربة الثابتة بما في ذلك الصخر باستخدام معدات يدوية و/أو ادوات، ميكانيكية والسعر يشمل نزح المياه الجوفية إن وجدت وسند جوانب الحفر وتشوين مواد الحفر المناسبة لاعادة الردم في مواقع معتمدة ونقل ما تبقى الى المكبات المعتمدة: حفر الاساسات من منسوب الأرض الطبيعية</t>
  </si>
  <si>
    <t>مبنى مستودع الاعلاف أعمال ردم</t>
  </si>
  <si>
    <t>اعمال اعتيادية انشائي 86</t>
  </si>
  <si>
    <t>مبنى مستودع الاعلاف أعمال خرسانة عادية</t>
  </si>
  <si>
    <t>اعمال اعتيادية انشائي 87</t>
  </si>
  <si>
    <t>خرسانة عادية فئة "ب "باسمنت مقاوم للكبريتات فئة (V) شاملة القوالب: سماكة 100 ملم</t>
  </si>
  <si>
    <t>مبنى مستودع الاعلاف أعمال خرسانة ملساء</t>
  </si>
  <si>
    <t>اعمال اعتيادية انشائي 88</t>
  </si>
  <si>
    <t>خرسانة مسلحة فئة أ مصبوبة باستخدام الرجراج باسمنت مقاوم للكبريتات فئة (V) مع القوالب وحديد التسليح والاكمام للاعمال الكهروميكانيكية وفواصل الصب وموانع المياه (إن وجدت) طبقا للمخططات الانشائية: القواعد ( خرسانة ملساء)</t>
  </si>
  <si>
    <t>مبنى مستودع الاعلاف أعمال خرسانة غير ملساء</t>
  </si>
  <si>
    <t>اعمال اعتيادية انشائي 89</t>
  </si>
  <si>
    <t>مبنى مستودع الاعلاف تركيب بلاطة ارضية</t>
  </si>
  <si>
    <t>اعمال اعتيادية انشائي 90</t>
  </si>
  <si>
    <t>بلاطة ارضية سماكة 200 ملم ( خرسانة ملساء)</t>
  </si>
  <si>
    <t>مبنى مستودع الاعلاف أعمال خرسانية لعنق الأعمدة</t>
  </si>
  <si>
    <t>اعمال اعتيادية انشائي 91</t>
  </si>
  <si>
    <t>عنق الأعمدة (خرسانة غير ملساء)</t>
  </si>
  <si>
    <t>مبنى مستودع الاعلاف اوزان العناصر المعدنية</t>
  </si>
  <si>
    <t>اعمال اعتيادية انشائي 92</t>
  </si>
  <si>
    <t>بالطن توريد هيكل حديدى من الصلب (BUS ) والقطاعات المدرفلة على البارد والجوايط رتبة 52 ومن الصلب رتبة 37 للقطاعات المدرفلة على الساخن والسعر يشمل نظافة سطح الحديد والطلاء وجه واحد برايمر 60 ميكرون ووجة نهائى ببوية اللاكية باللون المطلوب لاجمالى 120ميكرون مع عمل ملاحظات الدهان بالموقع بعد التركيب لاستلام الأعمال على الوجه الاكمل على أن يتم توريد القطاعات المدرفلة على البارد من المدادت وخلافة من حديد مجلفن بالأبعاد الوارده بالرسومات والمسامير المجلفنة (109 , 88 , 46 ) طبقا للموضح بالرسومات و السعر شامل تركيب الجوايط و الأعمال المساحية اللازمة و النقل للموقع ومايتبعه من رسوم للطرق و التشوين داخل الموقع و الإختبارات اللازمة أثناء التركيب و كل ما يلزم لنهو الأعمال حسب أصول الصناعة بالكود المصري للمنشآت المعدنية و اتباع تعليمات مهندس الإستشاري</t>
  </si>
  <si>
    <t>طن</t>
  </si>
  <si>
    <t>مبنى مستودع الاعلاف تركيب غشاء بولي اثيلين</t>
  </si>
  <si>
    <t>اعمال اعتيادية انشائي 93</t>
  </si>
  <si>
    <t>مبنى مستودع الاعلاف تحضير السطوح</t>
  </si>
  <si>
    <t>اعمال اعتيادية انشائي 94</t>
  </si>
  <si>
    <t>مبنى مستودع الاعلاف أعمال طلاء بيتومين</t>
  </si>
  <si>
    <t>اعمال اعتيادية انشائي 95</t>
  </si>
  <si>
    <t>الموقع العام تركيب انابيب بلاستيك 75 مم</t>
  </si>
  <si>
    <t>أعمال ميكانيك 1</t>
  </si>
  <si>
    <t>بالمتر الطولى توريد وتركيب وتشغيل وأختبار أنابيب بلاستيك UPVC صنف 4 لزوم نظام الصرف الصحي والسعر يشمل جميع المستلزمات والعلاقات والتركيب والتجارب والغسيل وجميع الأعمال المدنية وتشمل(حفر خندق بمعدل لشبكات الانابيب شاملاً تمھيد وتثبيت ودك التربة وكذلك اعادة الردم على الانابيب بعد التركيب وازالة كافة الشوائب الزائدة عن عملية الحفر والردم والشريط الإرشادى) اللازمة وكل مايلزم لإنهاء العمل على الوجه الأكمل وطبقا للمواصفات والمخططات وذلك للأقطار التالية: أناببيب UPVC قطر 75 مم - درجة 4</t>
  </si>
  <si>
    <t>الموقع العام تركيب انابيب بلاستيك 110 مم</t>
  </si>
  <si>
    <t>أعمال ميكانيك 2</t>
  </si>
  <si>
    <t>كالبند السابق توريد وتمديد انابيب الصرف الصحي بقطر اسمى 110 مم</t>
  </si>
  <si>
    <t>الموقع العام تركيب انابيب بلاستيك 160 مم</t>
  </si>
  <si>
    <t>أعمال ميكانيك 3</t>
  </si>
  <si>
    <t>كالبند السابق توريد وتمديد انابيب الصرف الصحي بقطر اسمى 160 مم</t>
  </si>
  <si>
    <t>الموقع العام تركيب انابيب بلاستيك 200 مم</t>
  </si>
  <si>
    <t>أعمال ميكانيك 4</t>
  </si>
  <si>
    <t>كالبند السابق توريد وتمديد انابيب الصرف الصحي بقطر اسمى 200 مم</t>
  </si>
  <si>
    <t>الموقع العام تركيب غرف تفتيش 6م</t>
  </si>
  <si>
    <t>أعمال ميكانيك 5</t>
  </si>
  <si>
    <t>غرف تفتيش من الخرسانة سابقة التجهيز بغطاء من الحديد الزهر يتحمل المرور بما فى ذلك فرش الاساس و الاعمال الترابية المتعلقة بذلك حسب المواصفات قسم 02730 غرف تفتيش 600 600X مم وحتى عمق08 متر</t>
  </si>
  <si>
    <t>الموقع العام تركيب غرف تفتيش 8م</t>
  </si>
  <si>
    <t>أعمال ميكانيك 6</t>
  </si>
  <si>
    <t>كالبند السابق غرف تفتيش 800 800X مم وحتى عمق12 متر</t>
  </si>
  <si>
    <t>الموقع العام تركيب طبقة ايبوكسى</t>
  </si>
  <si>
    <t>أعمال ميكانيك 7</t>
  </si>
  <si>
    <t>توريد وتركيب وتشطيب (مغطى من الداخل بطبقة من الأيبوكسى ومن الخارج بالبتومين ) وتوصيل خرسانية سابقة التجھيز بالموقع العام (MH ) وإختبار مطابق صرف خارجية واعمال الحفر والردم والتخلص من الشوائب الناتجة من عملية الحفر وصب القاعدة الخرسانية الخاصة بھا فى الموقع وذلك لشبكات الصرف الصحي ASTMC مطابقة للمواصفة الامريكية ٤٧٨ والبند يشتمل على غطاء من الزھر المرن العالى التحمل ومطابق للمواصفات ومزودة بدرجات سلالم بداخلھا مصنوعة من الحديد SASO السعودية ٤١٣ المجلفن المغطى بطبقة من الإيبوكسى ومانعة للإنزلاق والبند مطابق طبقا للمواصفات و المخططات مطبق دائرية بقطر 1م وعمق من 100-250 متر</t>
  </si>
  <si>
    <t>الموقع العام تركيب جاليتراب</t>
  </si>
  <si>
    <t>أعمال ميكانيك 8</t>
  </si>
  <si>
    <t>بالعدد توريد وتركيب واختبار جاليتراب مباني 400*400 مم والسعر يشمل توريد وتركيب غطاء من عينة معتمدة وكل ما يلزم لإنهاء العمل إنهاءا تاماً وكاملاً طبقاً للرسومات المرفقة والمواصفات الفنية وأصول الصناعة وتعليمات المهندس المشرف</t>
  </si>
  <si>
    <t>الموقع العام مواسير بلاستيك 25 مم</t>
  </si>
  <si>
    <t>أعمال ميكانيك 9</t>
  </si>
  <si>
    <t>أعمال شبكة المياة :- توريد و تركيب و اختبار مواسير بلاستيك ( UPVC) فئة 5 والسعر يشمل توريد الأنابيب وجميع القطع الخاصة من مشتركات ومساليب وأكواع و صمامات و غرف الصمامات وخلافه والتمديد والتركيب والحفر في أي تربه بما في ذلك الصخر وإعادة السطح إلى ما كان عليه والاختبار وتجهيز التشغيل وكل ما يلزم لإنهاء العمل على الوجه الأكمل وطبقاً للمخططات والمواصفات بقطر اسمى 25 مم</t>
  </si>
  <si>
    <t>الموقع العام مواسير بلاستيك 32 مم</t>
  </si>
  <si>
    <t>أعمال ميكانيك 10</t>
  </si>
  <si>
    <t>كالسابق بقطر اسمى 32 مم</t>
  </si>
  <si>
    <t>الموقع العام مواسير بلاستيك 40 مم</t>
  </si>
  <si>
    <t>أعمال ميكانيك 11</t>
  </si>
  <si>
    <t>كالسابق بقطر اسمى 40 مم</t>
  </si>
  <si>
    <t>الموقع العام مواسير بلاستيك 50 مم</t>
  </si>
  <si>
    <t>أعمال ميكانيك 12</t>
  </si>
  <si>
    <t>كالسابق بقطر اسمى 50 مم</t>
  </si>
  <si>
    <t>الموقع العام مواسير بلاستيك 63 مم</t>
  </si>
  <si>
    <t>أعمال ميكانيك 13</t>
  </si>
  <si>
    <t>كالسابق بقطر اسمى 63 مم</t>
  </si>
  <si>
    <t>الموقع العام مواسير بلاستيك 75 مم</t>
  </si>
  <si>
    <t>أعمال ميكانيك 14</t>
  </si>
  <si>
    <t>كالسابق بقطر اسمى 75 مم</t>
  </si>
  <si>
    <t>الموقع العام مواسير بلاستيك 110 مم</t>
  </si>
  <si>
    <t>أعمال ميكانيك 15</t>
  </si>
  <si>
    <t>كالسابق بقطر اسمى 110 مم</t>
  </si>
  <si>
    <t>الموقع العام تركيب مضخات المياه</t>
  </si>
  <si>
    <t>أعمال ميكانيك 16</t>
  </si>
  <si>
    <t>بالعدد توريد وتركيب واختيار مضخة رفع رأسية متغيرة السرعات واحدة تعمل و اخرى احتياطية خاصة بأعمال التغذية ماركة معتمده ذات محرك كهربائي تصرف الواحدة 700 لتر/ ثانية ورافع مانومتري 350 بار والسعر يشمل جميع التوصيلات الميكانيكية من مواسير ومحابس القفل وعدم الارتداد ووصلات التمدد ومحبس تفريغ الهواء وعداد قياس التصرف والضغط والأعمال المدنية من قواعد خرسانية للطلمبات ترتفع من الأرض بمقدار 15سم، والسعر يشمل جميع أعمال التوريد والتركيب وقطع الغيار وكافة الأعمال المدنية والميكانيكية والكهربائية ولوحة التحكم ومفاتيح تشغيل الطلمبة عن طريق ضغط الشبكة وكافة الأعمال اللازمة لحماية الطلمبات من التصرف الجاف وخلافه وكل ما يلزم لإنهاء العمل إنهاءا تاماً وكامـلاً حســـب أصول الصناعة وطبقاً للرسومات والمواصفات المرفقة (على أن تقدم مع العطاء شهادة المنشأ والكتالوجات والمنتجات الخاصة بالطلمبات المقترحة)</t>
  </si>
  <si>
    <t>الموقع العام تركيب مواسير بلاستيك عالى الكثافة 110مم</t>
  </si>
  <si>
    <t>أعمال ميكانيك 17</t>
  </si>
  <si>
    <t>توريد و تركيب و اختبار مواسير مياه الحريق بقطر اسمى 110 مم ( HDPE)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</si>
  <si>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الموقع العام تركيب مواسير بلاستيك عالى الكثافة 160مم</t>
  </si>
  <si>
    <t>أعمال ميكانيك 18</t>
  </si>
  <si>
    <t>كالبند السابق توريد وتمديد انابيب مياه الحريق بقطر اسمى 160 مم</t>
  </si>
  <si>
    <t>تركيب عساكر حريق</t>
  </si>
  <si>
    <t>أعمال ميكانيك 19</t>
  </si>
  <si>
    <t>بالعدد توريد وتركيب وتشغيل تجريبي وأختبار عساكر حريق (Fire Hydyant)(FH) (UL/FM) قطر100 مم مع كابينه خرطوم مياه ( خرطوم حريق مختبر بطول أو30متر ) شاملة جميع التوصيلات اللازمة والسعر يشمل محبس بوابي وجزع الإستطالة والغطاء (SB) والمفتاح وماسورةالحماية قطر 6 بوصة على شكل مثلث تثبت بالأرض وبإرتفاع مناسب وكل ما يلزم لإنهاء العمل على الوجه الأكمل وطبقاً للمواصفات والمخططات واشترطات الدفاع المدنى و NFPA واعتماد المهندس المشرف</t>
  </si>
  <si>
    <t>تركيب مضخات الحريق</t>
  </si>
  <si>
    <t>أعمال ميكانيك 20</t>
  </si>
  <si>
    <t>توريد وتركيب وإختبار و تشغيل مضخات حريق طرد مركزى مختبرة من UL ومعتمدة من الـ FM كاملة مع كافة المستلزمات الميكانيكية ( صمامات تحكم - وصلات مرنة - وصلات ميكانيكية ,,,,,,,,, الخ ) بحيث يتم توريد مضخة الحريق وحدة واحدة متكاملة تحتوى على مضخة تعمل بمحرك كهربى واخرى تعمل بمحرك ديزل والاخيرة مضخة تعويضية تعمل بمحرك كهربى شاملة اللوحات الكهربية ( تشغيل وتحكم ) وتكون المضخات بالسعات التالية : ا- مضخة رئيسية تعمل بمحرك كهربى سعة تدفق ( 500 ) جالون فى الدقيقة و ذلك عند ضغط قدرة ( 9 ) 2- مضخة إحتياطيه تعمل بمحرك ديزيل سعة تدفق ( 500 ) جالون فى الدقيقة و ذلك عند ضغط قدرة ( 9 ) بار بخزان وقود سعة 90 جالون وعدد 2 بطارية كل واحدة منهما على حده 24 فولت 3- مضخة تعويضية تعمل بمحرك كهربى سعة تدفق ( 50 ) جالون فى الدقيقة وذلك عند ضغط قدرة ( 10 ) بار ويتم تركيب المجموعة على شاسية واحدة يتم تثبيتة على قاعدة خرسانية و السعر يشمل جميع المستلزمات اللازمة ويشمل كل الاكسسوارات والمحابس والقطع والوصلات والتحاميل وكل ما يلزم لإنهاء العمل كما هو مبين فى المواصفات والرسومات وتحت إشراف المهندس المشرف لآنهاء التركيبات والتثبيت حتى الربط على خط الانابيب الرئيسى المغذى للشبكة</t>
  </si>
  <si>
    <t>تركيب مواسير الحديد المجلفنة</t>
  </si>
  <si>
    <t>أعمال ميكانيك 21</t>
  </si>
  <si>
    <t>توريد و تركيب وتوصيل و اختبار مواسير الحديد المجلفنة بغرفة الطلمبات مشتملة على خط الاختبار و مواسير السحب و الطرد والاختبار و تصريف الضغط والاكواع وجميع المحابس و الاكسسوارات لاتمام العمل على اكمل وجه طبقا للرسومات والمواصفات وتوجيه المهندس المشرف</t>
  </si>
  <si>
    <t>أعمال تمديدات صحية للخزان الارضى</t>
  </si>
  <si>
    <t>أعمال ميكانيك 22</t>
  </si>
  <si>
    <t>تمديدات صحية للخزان الارضى (خزان الصرف الصحي)من مواسير UPVC و يشمل العمل مواسير التهوية و سلم معدنى وكل ما يلزم</t>
  </si>
  <si>
    <t>تركيب فتحات الدخول</t>
  </si>
  <si>
    <t>أعمال ميكانيك 23</t>
  </si>
  <si>
    <t>فتحات الدخول ، وغطاء من حديد الزهر والإطار الخاص به وكل ما يلزم من اعمال حسب المخططات وتعليمات المهندس المشرف مما جميعه للخزانات المياة و الصرف الصحي و غرفة المضخات</t>
  </si>
  <si>
    <t>مبنى الحراسة تركيب ستارة من الهواء</t>
  </si>
  <si>
    <t>أعمال ميكانيك 24</t>
  </si>
  <si>
    <t>أعمال التدفئة والتهوية والتكييف:- بالعدد توريد وتركيب وتشغيل وأختبار ستارة من الهواء ، ومسافة القذف لا تقل عن 3 م، متصلا مع فتح الباب والسعر يشمل المروحة، والموتور، وجميع عناصر العمل الكهربائية والأسلاك، والقاعدة الخ وجميع الملحقات وما يلزم لإنهاء العمل إنهاءا تاماً حسب المواصفات والمخططات وأعتماد المهندس المشرف</t>
  </si>
  <si>
    <t>لا يوجد مرفقا</t>
  </si>
  <si>
    <t>مبنى الحراسة تركيب وحدة تكيف</t>
  </si>
  <si>
    <t>أعمال ميكانيك 25</t>
  </si>
  <si>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</si>
  <si>
    <t>مبنى الحراسة تركيب مغاسل</t>
  </si>
  <si>
    <t>أعمال ميكانيك 26</t>
  </si>
  <si>
    <t>الأجهزة الصحية :- 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</si>
  <si>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الحراسة تركيب كرسي مرحاض افرنجى</t>
  </si>
  <si>
    <t>أعمال ميكانيك 27</t>
  </si>
  <si>
    <t>بالعدد توريد وتركييب وتشغيل تجريبي وأختبار كرسى مرحاض أفرنجى من الخزف من أجود الأنواع والسعر يشمل الشطاف والوراقة وصندوق الطرد وخطوط الصرف والتغذية وجميع مايلزم لإنهاء العمل إنهاءا تاماً طبقا للمخططات والموصفات وأصول الصناعة واعتماد المهندس المشرف</t>
  </si>
  <si>
    <t>مبنى الحراسة تركيب حامل مناديل ورقية</t>
  </si>
  <si>
    <t>أعمال ميكانيك 28</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</si>
  <si>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لاصول الصناعة</t>
  </si>
  <si>
    <t>مبنى الحراسة تركيب انابيب بلاستيك 110مم</t>
  </si>
  <si>
    <t>أعمال ميكانيك 29</t>
  </si>
  <si>
    <t>أعمال شبكة الصرف الصحي :- 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</si>
  <si>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مبنى الحراسة تركيب انابيب بلاستيك 75مم</t>
  </si>
  <si>
    <t>أعمال ميكانيك 30</t>
  </si>
  <si>
    <t>كالبند السابق , أنابيب UPVC قطر 75 مم - درجة 4</t>
  </si>
  <si>
    <t>مبنى الحراسة تركيب انابيب بلاستيك 50مم</t>
  </si>
  <si>
    <t>أعمال ميكانيك 31</t>
  </si>
  <si>
    <t>كالبند السابق , أنابيب UPVC قطر 50 مم - درجة 4</t>
  </si>
  <si>
    <t>مبنى الحراسة تركيب انابيب بلاستيك 25مم</t>
  </si>
  <si>
    <t>أعمال ميكانيك 32</t>
  </si>
  <si>
    <t>كالبند السابق , أنابيب UPVC قطر 25 مم - درجة 4</t>
  </si>
  <si>
    <t>مبنى الحراسة تركيب صفيات مياه امطار</t>
  </si>
  <si>
    <t>أعمال ميكانيك 33</t>
  </si>
  <si>
    <t>بالعدد توريد وتركيب وتشغيل تجريبي وأختبار صفيات مياه أمطار (جرجوري) قطر 110 مم , والسعر يشمل كافة الملحقات والمواسير لإنهاء الأعمال إنهاءا تاماً طبقا للمواصفات و المخططات وأعتماد المهندس المشرف</t>
  </si>
  <si>
    <t>مبنى الحراسة تركيب صفايات ارضية</t>
  </si>
  <si>
    <t>أعمال ميكانيك 34</t>
  </si>
  <si>
    <t>بالعدد توريد وتركيب وتشغيل تجريبي وأختبار صفاية ارضية من البلاستيك المقوى بمخرج قطر 75مم بسيفون وغطاء من ( استانلس استيل ) وعمل كل مايلزم لانهاء العمل طبقا لاصول الصناعة والمواصفات الفنية والمخططات وأعتماد المهندس المشرف</t>
  </si>
  <si>
    <t>مبنى الحراسة تركيب طبات تسليك 75 مم</t>
  </si>
  <si>
    <t>أعمال ميكانيك 35</t>
  </si>
  <si>
    <t>بالعدد توريد وتركيب وتشغيل واختبار طبات تسليك أرضية قطر 75مم ذات غطاء من الأستانلس ستييل طبقا للمواصفات والمخططات وأعتماد المهندس المشرف</t>
  </si>
  <si>
    <t>مبنى الحراسة تركيب طبات تسليك 110 مم</t>
  </si>
  <si>
    <t>أعمال ميكانيك 36</t>
  </si>
  <si>
    <t>كالبند السابق طبة تسليك قطر 110مم</t>
  </si>
  <si>
    <t>مبنى الحراسة تركيب انابيب بلاستيك 25 مم</t>
  </si>
  <si>
    <t>أعمال ميكانيك 37</t>
  </si>
  <si>
    <t>أعمال شبكة المياة الباردة والحارة :- 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</si>
  <si>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الحراسة تركيب انابيب بلاستيك 20 مم</t>
  </si>
  <si>
    <t>أعمال ميكانيك 38</t>
  </si>
  <si>
    <t>كالبند السابق , مواسير PP قطر 20 مم</t>
  </si>
  <si>
    <t>مبنى الحراسة تركيب سخان مياه كهربائى</t>
  </si>
  <si>
    <t>أعمال ميكانيك 39</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</si>
  <si>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لتر2066</t>
  </si>
  <si>
    <t>مبنى الحراسة تركيب خزان علوى</t>
  </si>
  <si>
    <t>أعمال ميكانيك 40</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</si>
  <si>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500 لتر</t>
  </si>
  <si>
    <t>مبنى الحراسة تركيب محابس</t>
  </si>
  <si>
    <t>أعمال ميكانيك 41</t>
  </si>
  <si>
    <t>بالعدد توريد وتركيب محابس من أجود الأنواع عند مداخل المياه لكل حمام أو مطبخ وذلك بقطر 25ملم</t>
  </si>
  <si>
    <t>مبنى الحراسة تركيب مانع للمطرقة المائية</t>
  </si>
  <si>
    <t>أعمال ميكانيك 42</t>
  </si>
  <si>
    <t>مانع للمطرقة المائية WHA</t>
  </si>
  <si>
    <t>مبنى الحراسة اعمال مكافحة الحريق</t>
  </si>
  <si>
    <t>أعمال ميكانيك 43</t>
  </si>
  <si>
    <t>أعمال مكافحة الحريق : 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</si>
  <si>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مروحه شفط هواء 400 لتر</t>
  </si>
  <si>
    <t>أعمال ميكانيك 44</t>
  </si>
  <si>
    <t>أعمال التكييف والتهوية: بالعدد توريد وتركيب وتشغيل تجريبي وأختبار مروحه شفط هواء بتدفق من النوع الجداري كاملة والسعر يشمل كافة الملحقات اللازمه ومايلزم لإنهاء العمل إنهاءا تاماً وبشكل ممتاز حسب المواصفات والمخططات وأعتماد المهندس المشرف كالتالي - مروحة شفط بتدفق 400 لتر/ث</t>
  </si>
  <si>
    <t>غرف الكهرباء تركيب مروحه شفط هواء 1700 لتر</t>
  </si>
  <si>
    <t>أعمال ميكانيك 45</t>
  </si>
  <si>
    <t>كالبند السابق , مروحة شفط بتدفق 1700 لتر/ث</t>
  </si>
  <si>
    <t>غرف الكهرباء تركيب فتحات مصيدة الرمال</t>
  </si>
  <si>
    <t>أعمال ميكانيك 46</t>
  </si>
  <si>
    <t>توريد وتركيب فتحات مصيدة الرمال للتزويد بالهواء النقي من النوع الذي يركب بالأبواب المعدنيه بأبعاد قدرها 800 مم عرض و300 مم طول والسعر يشمل التوريد والتركيب وكل ما يلزم لإنهاء العمل إنهاءا تاماً وبشكل ممتاز حسب المواصفات والمخططات وأعتماد المهندس المشرف</t>
  </si>
  <si>
    <t>غرف الكهرباء تركيب صفيات امياه امطار جرجورى</t>
  </si>
  <si>
    <t>أعمال ميكانيك 47</t>
  </si>
  <si>
    <t>توريد وتركيب جرجورى صفيات مياه أمطار(ROOF DRAIN) بالسطح بغطاء من النحاس المطلي بالكروم 75مم وتمديدات المواسيرمن نوع UPVC نوع (4) طبقاً لأصول الصناعة والمواصفات الفنية والمخططات وتعليمات المهندس المشرف</t>
  </si>
  <si>
    <t>غرف الكهرباء تركيب شبكة مواسير 75مم</t>
  </si>
  <si>
    <t>أعمال ميكانيك 48</t>
  </si>
  <si>
    <t>بالمتر الطولي توريد وتركيب شبكة مواسير قطر 75 مم من مادة ( upvc class4 ) لزوم نظام الصرف الصحي وكذلك مواسير صرف مياه الأمطار كاملة مع جميع المستلزمات والعلاقات والتركيب شاملة التجارب والغسيل وجميع الأعمال المدنية اللازمة وكل مايلزم لإنهاء العمل على الوجه الأكمل وطبقا للمواصفات الفنية {طبقاً للقسم 15410} والمخططات</t>
  </si>
  <si>
    <t>غرف الكهرباء تركيب طفايات حريق CO2</t>
  </si>
  <si>
    <t>أعمال ميكانيك 49</t>
  </si>
  <si>
    <t>بالعدد توريد وتركيب وتشغيل تجريبي وأختبار طفايات حريق من نوع ثانى أكسيد الكربون الجاف سعة 6 كجم,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</si>
  <si>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طفايات حريق CO2 50 كجم</t>
  </si>
  <si>
    <t>أعمال ميكانيك 50</t>
  </si>
  <si>
    <t>توريد وتركيب ونشغيل تجريبي نظام إطفاء الحريق باستخدام غاز Fm - 200 لغرف الكهرباء والتحكم كامل مع جميع التوصيلات اللازمة ( مواسير - كواشف دخان - ناشرات الغاز - اجهزة الانذار المرئى و المسموع - ودوائر التحكم الكهربية ) والاكسسوارات وحسب المخططات والمواصفات وتعليمات المهندس المشرف على أن تقوم بالتركيب شركة متخصصة بهذا المجال وذلك حسب السعات التالية : غرفه تحكم الجهد المتوسط - اسطوانة سعة 50 كجم عند ضغط 42 بار</t>
  </si>
  <si>
    <t>غرف الكهرباء تركيب طفايات حريق CO2 54 كجم</t>
  </si>
  <si>
    <t>أعمال ميكانيك 51</t>
  </si>
  <si>
    <t>كالبند السابق غرفه المولد - اسطوانة سعة 54 كجم عند ضغط 42 بار</t>
  </si>
  <si>
    <t>غرف الكهرباء تركيب طفايات حريق CO2 40 كجم</t>
  </si>
  <si>
    <t>أعمال ميكانيك 52</t>
  </si>
  <si>
    <t>كالبند السابق غرفه المحول - اسطوانة سعة 40 كجم عند ضغط 42 بار</t>
  </si>
  <si>
    <t>غرف الكهرباء تركيب طفايات حريق CO2 42 كجم</t>
  </si>
  <si>
    <t>أعمال ميكانيك 53</t>
  </si>
  <si>
    <t>كالبند السابق غرفه جهد منخفض - اسطوانة سعة 40 كجم عند ضغط 42 بار</t>
  </si>
  <si>
    <t>غرف الكهرباء تركيب مروحة شفط هواء</t>
  </si>
  <si>
    <t>أعمال ميكانيك 54</t>
  </si>
  <si>
    <t>بالعدد توريد وتركيب وتشغيل تجريبي وأختبار مروحه شفط هواء بتدفق ( 500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</si>
  <si>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غرف الكهرباء تركيب صفيات مياه امطار جرجورى</t>
  </si>
  <si>
    <t>أعمال ميكانيك 55</t>
  </si>
  <si>
    <t>بالعدد توريد وتركيب وتشغيل وأختبار صفيات مياه أمطار (جرجوري)قطر 75 مم , والسعر يشمل كافة الملحقات والمواسير وما يلزم لإنهاء الأعمال إنهاءا تاماً طبقا للمواصفات و المخططات وأعتماد المهندس المشرف</t>
  </si>
  <si>
    <t>غرف الكهرباء تركيب ترنش</t>
  </si>
  <si>
    <t>أعمال ميكانيك 56</t>
  </si>
  <si>
    <t>بالمتر الطولى توريد وتركيب ترنش من الحديد الزهر على شكل نصف دائرة قطر 15 سم , لزوم صرف صرف مياه تبريد الردياتير لمضخة الديزيل ووصلة الإختبار من أجود الأنواع كامل بالغطاء والسعر يشمل العزل والتثبيت وكل ما يلزم لإنهاءا العمل إنهاءا تاماً على أكمل وجهه طبقا للمواصفات الفنية والمخططات وأصول الصناعة وأعتماد المهندس المشرف</t>
  </si>
  <si>
    <t>غرف الكهرباء تركيب طفايات حريق بودرة كميائية 6كجم</t>
  </si>
  <si>
    <t>أعمال ميكانيك 57</t>
  </si>
  <si>
    <t>بالعدد توريد وتركيب وتشغيل تجريبي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</si>
  <si>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طفايات حريق CO2 6كجم</t>
  </si>
  <si>
    <t>أعمال ميكانيك 58</t>
  </si>
  <si>
    <t>بالعدد توريد وتركيب وتشغيل تجريبي وأختبار طفايات حريق من نوع ثانى أكسيد الكربون الجاف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</si>
  <si>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سكن العاملين تركيب مكيف 18000 وحدة</t>
  </si>
  <si>
    <t>أعمال ميكانيك 59</t>
  </si>
  <si>
    <t>سكن العاملين تركيب مكيف 24000 وحدة</t>
  </si>
  <si>
    <t>أعمال ميكانيك 60</t>
  </si>
  <si>
    <t>كالبند السابق وحدة تكييف منفصل جدارى بقدرة 24,000 وحدة حرارية بريطانية</t>
  </si>
  <si>
    <t>سكن العاملين تركيب مكيف 30000وحدة</t>
  </si>
  <si>
    <t>أعمال ميكانيك 61</t>
  </si>
  <si>
    <t>كالبند السابق وحدة تكييف منفصل جدارى بقدرة 30,000 وحدة حرارية بريطانية</t>
  </si>
  <si>
    <t>سكن العاملين تركيب مروحة شفط هواء 5 لتر</t>
  </si>
  <si>
    <t>أعمال ميكانيك 62</t>
  </si>
  <si>
    <t>بالعدد توريد وتركيب وتشغيل تجريبي وأختبار مروحه شفط هواء بتدفق ( 50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</si>
  <si>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سكن العاملين تركيب مروحة شفط هواء 200 لتر</t>
  </si>
  <si>
    <t>أعمال ميكانيك 63</t>
  </si>
  <si>
    <t>كالبند السابق مروحه شفط هواء بتدفق ( 300 لتر/ث)</t>
  </si>
  <si>
    <t>سكن العاملين تركيب مغاسل</t>
  </si>
  <si>
    <t>أعمال ميكانيك 64</t>
  </si>
  <si>
    <t>بالعدد توريد وتركيب وتشغيل تجريبي وأختبار مغاسل من النوع المختبر بواسطة UL-FM تركب على قائم الخزف باللون الابيض والسعر يشمل الخلاطات والهرابات من النيكل ومحابس الزاوية وخطوط الصرف والتغذية من مواسير بلاستيك معزولة ومدفونة والمحابس والتوصيلات وجميع الاكسسوارات من ارفف صينى ومرأة وكل مايلزم لإنهاء العمل إنهاءا تاماً طبقا للمخططات والمواصفات الفنية وأصول الصناعة وأعتماد المهندس المشرف</t>
  </si>
  <si>
    <t>سكن العاملين تركيب كرسي مرحاض افرنجى</t>
  </si>
  <si>
    <t>أعمال ميكانيك 65</t>
  </si>
  <si>
    <t>بالعدد توريد وتركييب وتشغيل تجريبي وأختبار كرسى مرحاض افرنجى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لإنهاء العمل إنهاءا تاماً طبقا للمخططات والموصفات وأصول الصناعة واعتماد المهندس المشرف</t>
  </si>
  <si>
    <t>سكن العاملين مرحاض شرقى</t>
  </si>
  <si>
    <t>أعمال ميكانيك 66</t>
  </si>
  <si>
    <t>بالعدد توريد وتركييب وتشغيل وأختبار مرحاض شرقى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لنهو العمل نهواً تاماً طبقا للمخططات والموصفات وأصول الصناعة واعتماد المهندس المشرف</t>
  </si>
  <si>
    <t>سكن العاملين تركيب مغسلة اوانى للمطبخ</t>
  </si>
  <si>
    <t>أعمال ميكانيك 67</t>
  </si>
  <si>
    <t>توريد وتركيب وتجربة مغسلة اوانى للمطبخ بلوحتين لتصفية وحوض من استانلس استيل مقاس (50*150 سم)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</si>
  <si>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مغسلة للملابس</t>
  </si>
  <si>
    <t>أعمال ميكانيك 68</t>
  </si>
  <si>
    <t>توريد وتركيب وتجربة مغسلة للملابس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</si>
  <si>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حوض شاور للحمام</t>
  </si>
  <si>
    <t>أعمال ميكانيك 69</t>
  </si>
  <si>
    <t>توريد وتركيب وتجربة حوض شاور للحمام كما هو موضح بالمخططات والمواصفات والصمامات الزاوية والوصلات المرنة وكافة الاكسسوارت شاملا خطوط الصرف والتغذية من مواسير بلاستيك معزولة ومدفونة اللازمة للتركيب الجيد ومن أجود الانواع طبقا للمخططات والموصفات وأصول الصناعة واعتماد المهندس المشرف</t>
  </si>
  <si>
    <t>سكن العاملين تركيب مجفف ايدي</t>
  </si>
  <si>
    <t>أعمال ميكانيك 70</t>
  </si>
  <si>
    <t>توريد وتركيب مجفف أيدي من أجود الأنواع والسعر يشمل جميع ما يلزم لإنهاء العمل نهوا تاما طبقا للمخططات والموصفات وأصول الصناعة واعتماد المهندس المشرف</t>
  </si>
  <si>
    <t>سكن العاملين تركيب حامل مناديل ورقية</t>
  </si>
  <si>
    <t>أعمال ميكانيك 71</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</si>
  <si>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للمخططات والموصفات وأصول الصناعة واعتماد المهندس المشرف</t>
  </si>
  <si>
    <t>سكن العاملين تركيب صفاية ارضية 50 مم</t>
  </si>
  <si>
    <t>أعمال ميكانيك 72</t>
  </si>
  <si>
    <t>بالعدد توريد وتركيب وتشغيل تجريبي وأختبار صفاية ارضية من البلاستيك المقوى بمخرج قطر 50مم بسيفون وغطاء من ( استانلس استيل ) وعمل كل مايلزم لانهاء العمل طبقا لاصول الصناعة والمواصفات الفنية والمخططات وأعتماد المهندس المشرف</t>
  </si>
  <si>
    <t>سكن العاملين تركيب صفاية ارضية 75 مم</t>
  </si>
  <si>
    <t>أعمال ميكانيك 73</t>
  </si>
  <si>
    <t>كالبند السابق صفاية أرضية بمخرج قطر 75مم</t>
  </si>
  <si>
    <t>سكن العاملين تركيب طبات تسليك ارضية 75مم</t>
  </si>
  <si>
    <t>أعمال ميكانيك 74</t>
  </si>
  <si>
    <t>بالعدد توريد وتركيب وتشغيل تجريبي واختبار طبات تسليك أرضية قطر 75مم ذات غطاء من الأستانلس ستييل طبقا للمواصفات والمخططات وأعتماد المهندس المشرف</t>
  </si>
  <si>
    <t>سكن العاملين تركيب طبات تسليك ارضية 110مم</t>
  </si>
  <si>
    <t>أعمال ميكانيك 75</t>
  </si>
  <si>
    <t>سكن العاملين تركيب انابيب بلاستيك أ</t>
  </si>
  <si>
    <t>أعمال ميكانيك 76</t>
  </si>
  <si>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</si>
  <si>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سكن العاملين تركيب انابيب بلاستيك ب</t>
  </si>
  <si>
    <t>أعمال ميكانيك 77</t>
  </si>
  <si>
    <t>سكن العاملين تركيب أنابيب بلاستيك ج</t>
  </si>
  <si>
    <t>أعمال ميكانيك 78</t>
  </si>
  <si>
    <t>سكن العاملين تركيب انابيب بلاستيك د</t>
  </si>
  <si>
    <t>أعمال ميكانيك 79</t>
  </si>
  <si>
    <t>كالبند السابق , أنابيب UPVC قطر 40 مم - درجة 4</t>
  </si>
  <si>
    <t>سكن العاملين تركيب انابيب بلاستيك ه</t>
  </si>
  <si>
    <t>أعمال ميكانيك 80</t>
  </si>
  <si>
    <t>كالبند السابق , أنابيب UPVC قطر 32 مم - درجة 4</t>
  </si>
  <si>
    <t>سكن العاملين تركيب صفاية مياه امطار</t>
  </si>
  <si>
    <t>أعمال ميكانيك 81</t>
  </si>
  <si>
    <t>بالعدد توريد وتركيب وتشغيل تجريبي وأختبار صفيات مياه أمطار (جرجوري) قطر110 مم , والسعر يشمل كافة الملحقات والمواسير لإنهاء الأعمال إنهاءا تاماً طبقا للمواصفات و المخططات وأعتماد المهندس المشرف</t>
  </si>
  <si>
    <t>سكن العاملين تركيب انابيب بلاستيك 50 مم</t>
  </si>
  <si>
    <t>أعمال ميكانيك 82</t>
  </si>
  <si>
    <t>كالبند السابق , مواسير PP قطر 50 مم</t>
  </si>
  <si>
    <t>سكن العاملين تركيب انابيب بلاستيك 32 مم</t>
  </si>
  <si>
    <t>أعمال ميكانيك 83</t>
  </si>
  <si>
    <t>كالبند السابق , مواسير PP قطر 32 مم</t>
  </si>
  <si>
    <t>سكن العاملين تركيب انابيب بلاستيك 25 مم</t>
  </si>
  <si>
    <t>أعمال ميكانيك 84</t>
  </si>
  <si>
    <t>كالبند السابق , مواسير PP قطر 25 مم</t>
  </si>
  <si>
    <t>سكن العاملين تركيب انابيب بلاستيك 20 مم</t>
  </si>
  <si>
    <t>أعمال ميكانيك 85</t>
  </si>
  <si>
    <t>سكن العاملين سخان مياه كهربائى سعه 30 لتر</t>
  </si>
  <si>
    <t>أعمال ميكانيك 86</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</si>
  <si>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"30" لتر</t>
  </si>
  <si>
    <t>سكن العاملين تركيب سخان مياه كهربائي 80 لتر</t>
  </si>
  <si>
    <t>أعمال ميكانيك 87</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</si>
  <si>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"80" لتر</t>
  </si>
  <si>
    <t>سكن العاملين تركيب خزان علوي</t>
  </si>
  <si>
    <t>أعمال ميكانيك 88</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</si>
  <si>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2000 لتر</t>
  </si>
  <si>
    <t>سكن العاملين تركيب محابس 50 ملم</t>
  </si>
  <si>
    <t>أعمال ميكانيك 89</t>
  </si>
  <si>
    <t>بالعدد توريد وتركيب محابس من أجود الأنواع عند مداخل المياه لكل حمام أو مطبخ وذلك بقطر 50ملم</t>
  </si>
  <si>
    <t>سكن العاملين تركيب محابس 25 ملم</t>
  </si>
  <si>
    <t>أعمال ميكانيك 90</t>
  </si>
  <si>
    <t>كالبند السابق محبس قطر 25 ملم</t>
  </si>
  <si>
    <t>سكن العاملين تركيب مانع للمطرقة المائية</t>
  </si>
  <si>
    <t>أعمال ميكانيك 91</t>
  </si>
  <si>
    <t>سكن العاملين اعمال مكافحة الحريق</t>
  </si>
  <si>
    <t>أعمال ميكانيك 92</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</si>
  <si>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وإختبار وتشغيل صناديق لإطفاء الحريق Fire Hose Cabinet من النوع الذي يركب غاطس بالجدران والمصنوع من مادة الاستانليس ستيل العاكس mirror ومزود بطفاية حريق جانبية تفتح بباب منفصل طبقا لإشتراطات الدفاع المدني وتعليمات NFPA وتحتوى على التالى: - خرطوم الحريق قطر 25 مم × 30 م طول ومزود فى نهايته بالباشبورى من النحاس المطلى بالكروم مع وجود محبس بوابى قطر 40 مم فى بداية الخرطوم - طفاية حريق بودرة كميائية جافة سعة 6 كجم و صندوق اخر يحتوى على صمام الدفاع المدنى 25 بوصة</t>
  </si>
  <si>
    <t>سكن العاملين تركيب مواسير 80 مم</t>
  </si>
  <si>
    <t>أعمال ميكانيك 93</t>
  </si>
  <si>
    <t>بالمتر الطولي توريد وتركيب وتشغيل تجريبي واختبار مواسير قطر 80 مم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t>
  </si>
  <si>
    <t>سكن العاملين تركيب مواسير 65 مم</t>
  </si>
  <si>
    <t>أعمال ميكانيك 94</t>
  </si>
  <si>
    <t>كالبند السابق , مواسير قطر 65 مم</t>
  </si>
  <si>
    <t>سكن العاملين تركيب مساليب واكواع</t>
  </si>
  <si>
    <t>أعمال ميكانيك 95</t>
  </si>
  <si>
    <t>توريد و تركيب و اختبار مواسير بلاستيك ( HDPE) بقطر اسمى 100 مم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</si>
  <si>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سكن العاملين تركيب طفايات حريق</t>
  </si>
  <si>
    <t>أعمال ميكانيك 96</t>
  </si>
  <si>
    <t>بالعدد توريد وتركيب وتشغيل تجريبي وأختبار طفايات حريق من النوع المخصص بالمطابخ بسعة 6 كجم ,ومن النوع المختبر بواسطة UL/FM والسعر يشمل التثبيت بالثلث العلوي وبكامل عرض الباب طبقاً للمواصفات الفنية كما فى المخططات والمواصفات وأعتماد المهندس المشرف</t>
  </si>
  <si>
    <t>مبنى العيادة تركيب مكيف 18000 وحدة</t>
  </si>
  <si>
    <t>أعمال ميكانيك 97</t>
  </si>
  <si>
    <t>مبنى العيادة تركيب مروحة شفط هواء 50 لتر</t>
  </si>
  <si>
    <t>أعمال ميكانيك 98</t>
  </si>
  <si>
    <t>مبنى العيادة تركيب مروحة شفط هواء 150 لتر</t>
  </si>
  <si>
    <t>أعمال ميكانيك 99</t>
  </si>
  <si>
    <t>كالبند السابق مروحه شفط هواء بتدفق ( 150 لتر/ث)</t>
  </si>
  <si>
    <t>مبنى العيادة تركيب الاجهزة الصحية</t>
  </si>
  <si>
    <t>أعمال ميكانيك 100</t>
  </si>
  <si>
    <t>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</si>
  <si>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العيادة تركيب كرسى مرحاض</t>
  </si>
  <si>
    <t>أعمال ميكانيك 101</t>
  </si>
  <si>
    <t>مبنى العيادة تركيب حامل مناديل ورقية</t>
  </si>
  <si>
    <t>أعمال ميكانيك 102</t>
  </si>
  <si>
    <t>مبنى العيادة تركيب مواسير بلاستيك أ</t>
  </si>
  <si>
    <t>أعمال ميكانيك 103</t>
  </si>
  <si>
    <t>مبنى العيادة تركيب مواسير بلاستيك ب</t>
  </si>
  <si>
    <t>أعمال ميكانيك 104</t>
  </si>
  <si>
    <t>مبنى العيادة تركيب مواسير بلاستيك ج</t>
  </si>
  <si>
    <t>أعمال ميكانيك 105</t>
  </si>
  <si>
    <t>مبنى العيادة تركيب مواسير بلاستيك د</t>
  </si>
  <si>
    <t>أعمال ميكانيك 106</t>
  </si>
  <si>
    <t>مبنى العيادة تركيب صفيات جرجوري</t>
  </si>
  <si>
    <t>أعمال ميكانيك 107</t>
  </si>
  <si>
    <t>مبنى العيادة تركيب صفاية ارضية 75 مم</t>
  </si>
  <si>
    <t>أعمال ميكانيك 108</t>
  </si>
  <si>
    <t>مبنى العيادة تركيب طبة تسليك 75 مم</t>
  </si>
  <si>
    <t>أعمال ميكانيك 109</t>
  </si>
  <si>
    <t>مبنى العيادة تركيب طبة تسليك 110 مم</t>
  </si>
  <si>
    <t>أعمال ميكانيك 110</t>
  </si>
  <si>
    <t>مبنى العيادة تركيب مواسير بلاستيك 25 مم</t>
  </si>
  <si>
    <t>أعمال ميكانيك 111</t>
  </si>
  <si>
    <t>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</si>
  <si>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العيادة تركيب مواسير بلاستيك 20 مم</t>
  </si>
  <si>
    <t>أعمال ميكانيك 112</t>
  </si>
  <si>
    <t>مبنى العيادة تركيب مواسير بلاستيك 32 مم</t>
  </si>
  <si>
    <t>أعمال ميكانيك 113</t>
  </si>
  <si>
    <t>مبنى العيادة تركيب سخان مياه كهربائى 50 لتر</t>
  </si>
  <si>
    <t>أعمال ميكانيك 114</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</si>
  <si>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t>
  </si>
  <si>
    <t>مبنى العيادة تركيب خزان مياه علوي</t>
  </si>
  <si>
    <t>أعمال ميكانيك 115</t>
  </si>
  <si>
    <t>هل سعة الخزان 500 لتر فقط</t>
  </si>
  <si>
    <t>مبنى العيادة محابس 25 ملم</t>
  </si>
  <si>
    <t>أعمال ميكانيك 116</t>
  </si>
  <si>
    <t>مبنى العيادة تركيب مانع للمطرقة المائية</t>
  </si>
  <si>
    <t>أعمال ميكانيك 117</t>
  </si>
  <si>
    <t>مبنى العيادة اعمال مكافحه الحريق</t>
  </si>
  <si>
    <t>أعمال ميكانيك 118</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</si>
  <si>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</si>
  <si>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مبنى مستودع الاعلاف تركيب مروحه شفط هواء</t>
  </si>
  <si>
    <t>أعمال ميكانيك 119</t>
  </si>
  <si>
    <t>بالعدد توريد وتركيب وتشغيل تجريبي وأختبار مروحه شفط هواء بتدفق ( 3300 لتر/ث) من النوع السطحى Roof top كاملة والسعر يشمل كافة الملحقات اللازمه ومايلزم لإنهاء العمل إنهاءا تاماً وبشكل ممتاز حسب المواصفات والمخططات وأعتماد المهندس المشرف</t>
  </si>
  <si>
    <t>مبنى مستودع الاعلاف تركيب فتحات مصيدة الرمال</t>
  </si>
  <si>
    <t>أعمال ميكانيك 120</t>
  </si>
  <si>
    <t>توريد وتركيب فتحات مصيدة الرمال للتزويد بالهواء النقي من النوع الذي يركب بالأبواب المعدنيه بأبعاد قدرها 3000 مم عرض و1000 مم طول والسعر يشمل التوريد والتركيب وكل ما يلزم لإنهاء العمل إنهاءا تاماً وبشكل ممتاز حسب المواصفات والمخططات وأعتماد المهندس المشرف</t>
  </si>
  <si>
    <t>مبنى مستودع الاعلاف تركيب أنابيب بلاستيك 110 مم</t>
  </si>
  <si>
    <t>أعمال ميكانيك 121</t>
  </si>
  <si>
    <t>مبنى مستودع الاعلاف تركيب صفيات مياه أمطار</t>
  </si>
  <si>
    <t>أعمال ميكانيك 122</t>
  </si>
  <si>
    <t>مبنى مستودع الاعلاف تركيب صناديق لإطفاء الحريق</t>
  </si>
  <si>
    <t>أعمال ميكانيك 123</t>
  </si>
  <si>
    <t>مبنى مستودع الاعلاف تركيب مواسير لتغذية مياه الحريق</t>
  </si>
  <si>
    <t>أعمال ميكانيك 124</t>
  </si>
  <si>
    <t>بالمتر الطولي توريد وتركيب وتشغيل تجريبي واختبار مواسير لزوم تغذية صناديق الحريق والرشاشات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 مواسير بقطر ( 50 مم ) 2 بوصة</t>
  </si>
  <si>
    <t>مبنى مستودع الاعلاف تركيب مواسير 150 مم</t>
  </si>
  <si>
    <t>أعمال ميكانيك 125</t>
  </si>
  <si>
    <t>كالبند السابق مواسير بقطر ( 150 مم ) 6 بوصة</t>
  </si>
  <si>
    <t>مبنى مستودع الاعلاف أختبار صمام</t>
  </si>
  <si>
    <t>أعمال ميكانيك 126</t>
  </si>
  <si>
    <t>بالعدد توريد وتركيب وتشغيل تجريبي وأختبار صمام Wet Alarm Check Valve والسعر يشمل variable pressure trim retarding chamber, mechanical alarm gong, pressure switch complete including tamper switch وكل مايلزم لإنهاء العمل إنهاءا تاماً حسب المخططات والمواصفات وأعتماد المهندس المشرف وأصول الصناعة والتركيب مما جميعه wet alarm check valve قطر 100 مم (4 بوصة)</t>
  </si>
  <si>
    <t>مبنى مستودع الاعلاف صمام التحكم</t>
  </si>
  <si>
    <t>أعمال ميكانيك 127</t>
  </si>
  <si>
    <t>بالعدد توريد وتركيب وتشغيل تجريبي وأختبار صمام التحكم فى منطقة (Zone Control Valve) والسعر يشمل كامل المجموعة os&amp;y gate valve with tamper switch, check valve,water flow switch,test and drain valve,pressure gauge وكل مايلزم لإنهاء العمل إنهاءا تاماً حسب المخططات والمواصفات UL/FMواعتماد المهندس المشرف قطر 150 مم</t>
  </si>
  <si>
    <t>مبنى مستودع الاعلاف تركيب رشاش</t>
  </si>
  <si>
    <t>أعمال ميكانيك 128</t>
  </si>
  <si>
    <t>بالعدد توريد و تركيب واختبار رشاش من النوع(UL/FM) ESFR للمخازن كما موضح بالرسومات و المواصفات</t>
  </si>
  <si>
    <t>مبنى مستودع الاعلاف تركيب وصلة دفاع مدنى</t>
  </si>
  <si>
    <t>أعمال ميكانيك 129</t>
  </si>
  <si>
    <t>بالعدد توريد و تركيب وصلة دفاع مدنى (وصلة سياميزية) تكون ماركة حاصلة على UL&amp;FM ومن النوع (Wet piller ) تحتوى على 4 بوصه صمام عدم رجوع و صمام بوابة مع وجود مخرجين 25 بوصة شاملة جميع الاكسسوارات والوصلات تحت الارض وكذلك غرفة المحابس من الخرسانة وغطاء الغرفة طبقا للرسومات و المواصفات الموضحة</t>
  </si>
  <si>
    <t>مبنى مستودع الاعلاف تركيب طبليات</t>
  </si>
  <si>
    <t>أعمال ميكانيك 130</t>
  </si>
  <si>
    <t>توريد و تركيب طبليات مرتفعة الأرض ورفوف معدنية يوضع عليها الطبليات لعملية التخزين والسعر يشمل كافة الملحقات اللازمه ومايلزم لإنهاء العمل إنهاءا تاماً وبشكل ممتاز حسب المواصفات والمخططات وأعتماد المهندس المشرف</t>
  </si>
  <si>
    <t>الموقع العام تركيب لوحة تغذية حلقية</t>
  </si>
  <si>
    <t>أعمال كهرباء 1</t>
  </si>
  <si>
    <t>توريد وتركيب واختبار وفحص والتشغيل التجريبي لوحدة التغذية الحلقية الرئيسية 138 ك ف مع قاطع الدائرة (200 أمبير) والمصهرات ومفتاح فصل على الحمل 400 أمبير، تردد 60 هيرتز، شاملا العزل الطرفي للكابلات لكابلات 138 ك ف المعزولة (XLPE) وذلك حسبما هو مبين على المخططات والمواصفات الفنية</t>
  </si>
  <si>
    <t>الموقع العام تركيب محول كهربائى</t>
  </si>
  <si>
    <t>أعمال كهرباء 2</t>
  </si>
  <si>
    <t>أعمال الكهرباء لغرف الكهرباء :المحول الكهربائي: توريد وتركيب وتوصيل واختبار وتشغيل محول كهربائي سعة 315 كفأ جهد (138) كفولت / 400 فولت بتردد 60 هرتز 3 فاز من النوع الجاف ولا تقل كقائته عن 97 % وبمعامل قدرة 90 % طريقة التوصيل دلتا / ستار DYN11 حسب مواصفات شركة الكهرباء وذلك بالتنسيق مع (SEC) ويكون المحول قابل لضبط الجهد الخارج عن طريق TAP CHANGER ويتم تجهيزه بانذار للحراة و مستوى الزيت والسعر يشمل جميع ما يلزم من تعقيب ودفع رسوم لدي شركة الكهرباء وأي اعمال انشائية و كهربائية و ميكانيكية و معمارية لتسليم المبني مغذي بالتيار الكهربائي ويعمل بشكل ثابت و العمل يشمل توريد و تركيب كابل الجهد المتوسط من مصدر شركة الكهرباء الى وحدة الربط الحلقي RMU و منها للمحول و يشمل ايضا عدادات الكهرباء وايضا وصلات النهايات للكابلات ونظام الارضي وجميع ما يلزم لتشغيل المبني حسب المخططات والمواصفات المعتمدة لدي شركة الكهرباء واعتماد مهندس سكيكو والمهندس المشرف</t>
  </si>
  <si>
    <t>الموقع العام تركيب مولد كهرباء للطوارئ</t>
  </si>
  <si>
    <t>أعمال كهرباء 3</t>
  </si>
  <si>
    <t>المولدبالعدد توريد و تركيب وتوصيل وتشغيل واختبار مولد كهرباء للطوارئ قدرة 150 كفأ , 400/230 افولت ثلاثة أوجه 4 أسلاك , 60 هرتز او الجهد المعمول به في المشروع كامل بمحرك الديزل و المولد الكهربائي وخزان الوقود اليومي و القاعدة الخرسانية و الاعمال المدنية للتثبيت و القاطع الكهربائي ولوحات التشغيل و التحكم الميكانيكية و الكهربائية و الشاحن و البطاريات و المقوم الكهربائي (March) و كاتم الصوت و مانعات الاهتزازومخفض درجة الحرارة (Radiator) وانبوب العادم وخزان وقود بسعة 2000 لتر كاملا بالطلمبات و بيان مستوى الوقود والحساسات ولوحة التشغيل والتحكم و المواسير و كافة التوصيلات يركب تحت الارض بجوار عداد شركة الكهرباء وحسب المواصفات الخاصة بشركة الكهرباء السعودية، وكذلك السعر يشمل أعمال تأريض المولد ويجب إعتماد جميع العينات من الوزارة قبل البدء في التوريد</t>
  </si>
  <si>
    <t>الموقع العام تركيب خزان وقود شهري</t>
  </si>
  <si>
    <t>أعمال كهرباء 4</t>
  </si>
  <si>
    <t>بالعدد توريد وتركيب خزان الوقود الشهري من النوع DOUBLE LAYER بسعة 10000 لتر,علي أن يتم دفنه تحت الارض شامل أعمال الدهانات بمواد إيبوكسية مانعة للصدأ والتاَكل وشبكة الوقود كاملة بالطلمبات الكهربائية واليدوية والمواسير والمحابس حتي التوصيل علي الخزان اليومى ونظام مراقبة وإنذار لتسريب الوقود وإنخفاض مستواه شامل بجميع الحمايات الازمة ويكون الخزان كامل بجميع التوصيلات ووصلات الملأ وبيان المناسيب وفتحات التهوية وقواعد التحميل ونظام إطفاء الحريق</t>
  </si>
  <si>
    <t>الموقع العام تركيب موصلات الجهد المتوسط</t>
  </si>
  <si>
    <t>أعمال كهرباء 5</t>
  </si>
  <si>
    <t>توريد وتركيب واختبار وفحص موصلات الجهد المتوسط المسلحة من النحاس المعزولة (XLPE) والمتعددة القلوب (15 ك ف) من وحدات التغذية الحلقية الرئيسية إلى المحولات حسبما هو مبين أدناه، شاملا قطع التركيب، والتثبيت والملحقات طبقا للمواصفات والمخططات، وتشمل ما يلي: ثلاثة قلوب × 70 مم2، XLPE</t>
  </si>
  <si>
    <t>الموقع العام تركيب نظام ارضي للوحات الكهربائية</t>
  </si>
  <si>
    <t>أعمال كهرباء 6</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</si>
  <si>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العمومية والمولد وجميع الابواب الحديدية لغرف الكهرباء والاعمال المعدنية بالغرف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</si>
  <si>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الموقع العام تركيب نظام ارضي للوحات الكهربائية 5اوم</t>
  </si>
  <si>
    <t>أعمال كهرباء 7</t>
  </si>
  <si>
    <t>كالبند السابق ولكن خاص بمهمات الجهد المتوسط وجسم المحول لإعطاء مقاومة لا تزيد عن 5 أوم</t>
  </si>
  <si>
    <t>الموقع العام تركيب لوحة عمومية للطوارئ</t>
  </si>
  <si>
    <t>أعمال كهرباء 8</t>
  </si>
  <si>
    <t>توريد وتركيب وتشغيل تجريبي لوحة كهرباء عمومية 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المقولبACB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</si>
  <si>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لوحة عمومية للتشغيل الطبيعي</t>
  </si>
  <si>
    <t>أعمال كهرباء 9</t>
  </si>
  <si>
    <t>لوحات الكهرباء:توريد وتركيب وتشغيل تجريبي لوحة كهرباء عمومية EMDB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المقولبMCCB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</si>
  <si>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مفتاح النقل الاوتوماتيكي</t>
  </si>
  <si>
    <t>أعمال كهرباء 10</t>
  </si>
  <si>
    <t>مفتاح النقل الاتوماتيكي ATS (ONE OF TWO) توريد وتركيب وتوصيل واختبار وتشغيل تجريبي مفتاح النقل الاوتوماتيكي ATS للربط بين المولد ومصدر التيار الرئيسي لشركة الكهرباء واللوحة الرئيسية بقيمة 500امبير- ثلاثة اوجه -400 فولت علي أن تحتوي علي وسيلة أمان غلق ميكانيكية وكهربائية MECHANICAL &amp; ELECTRICAL INTERLOCK، والعمل يشمل كل ما يلزم لانهاء الاعمال طبقا للمخططات والمواصفات و يجب إعتماد جميع العينات من الوزارة قبل التوريد</t>
  </si>
  <si>
    <t>الموقع العام تركيب لوحة توزيع الكهرباء</t>
  </si>
  <si>
    <t>أعمال كهرباء 11</t>
  </si>
  <si>
    <t>EDB-LAY</t>
  </si>
  <si>
    <t>الموقع العام تركيب لوحة توزيع الكهرباء العمومية</t>
  </si>
  <si>
    <t>أعمال كهرباء 12</t>
  </si>
  <si>
    <t>DB-ELE بغرف الكهرباء العمومية</t>
  </si>
  <si>
    <t>الموقع العام تركيب كابل 150</t>
  </si>
  <si>
    <t>أعمال كهرباء 13</t>
  </si>
  <si>
    <t>كابل( 4*150)+1*70 مم2 نحاس</t>
  </si>
  <si>
    <t>الموقع العام تركيب كابل 95</t>
  </si>
  <si>
    <t>أعمال كهرباء 14</t>
  </si>
  <si>
    <t>كابل( 4*95)+1*50 مم2 نحاس مسلح</t>
  </si>
  <si>
    <t>الموقع العام تركيب كابل 50</t>
  </si>
  <si>
    <t>أعمال كهرباء 15</t>
  </si>
  <si>
    <t>كابل(4*50)+1*25 مم2 نحاس مسلح</t>
  </si>
  <si>
    <t>الموقع العام تركيب كابل 25</t>
  </si>
  <si>
    <t>أعمال كهرباء 16</t>
  </si>
  <si>
    <t>كابل(4*25)+1*16 مم2 نحاس مسلح</t>
  </si>
  <si>
    <t>الموقع العام تركيب كابل 16</t>
  </si>
  <si>
    <t>أعمال كهرباء 17</t>
  </si>
  <si>
    <t>كابل(4*16)+1*16 مم2 نحاس مسلح</t>
  </si>
  <si>
    <t>الموقع العام تركيب كابل 10</t>
  </si>
  <si>
    <t>أعمال كهرباء 18</t>
  </si>
  <si>
    <t>كابل(4*10)+1*10 مم2 نحاس مسلح</t>
  </si>
  <si>
    <t>الموقع العام تركيب كابل 6</t>
  </si>
  <si>
    <t>أعمال كهرباء 19</t>
  </si>
  <si>
    <t>كابل( 4*6)+1*6 مم2 نحاس مسلح</t>
  </si>
  <si>
    <t>الموقع العام تركيب كابل 16 أ</t>
  </si>
  <si>
    <t>أعمال كهرباء 20</t>
  </si>
  <si>
    <t>كابل( 4*16)+1*16 مم2 نحاس</t>
  </si>
  <si>
    <t>الموقع العام تركيب مقبس دوبلكس</t>
  </si>
  <si>
    <t>أعمال كهرباء 21</t>
  </si>
  <si>
    <t>مقبس احادي الطور(1P+N+E) دوبلكس 20 امبير من النوع المقاوم للماء WATER PROOF بدرجة حماية IP=54 (قوى) بأسلاك 3*4 مم2 نحاس</t>
  </si>
  <si>
    <t>الموقع العام تركيب مفتاح فصل وتشغيل</t>
  </si>
  <si>
    <t>أعمال كهرباء 22</t>
  </si>
  <si>
    <t>مفتاح فصل وتشغيل (1P+E) 20أمبير - 220 فولت من النوع المضاد للمياه IP54 باسلاك 3*4 مم2 نحاس لزوم مراوح التهوية من المفتاح الى اللوحة ومن المفتاح الى المروحة والمفتاح مزود بلمبة بيان</t>
  </si>
  <si>
    <t>الموقع العام تركيب مفتاح اتجاه واحد</t>
  </si>
  <si>
    <t>أعمال كهرباء 23</t>
  </si>
  <si>
    <t>مفتاح اتجاة واحد بعدد 2 لقمة 10 أمبير ,220 فولت من النوع المقاوم للعوامل الجوية IP=54 WATER PROOF</t>
  </si>
  <si>
    <t>الموقع العام تركيب مخرج اناره</t>
  </si>
  <si>
    <t>أعمال كهرباء 24</t>
  </si>
  <si>
    <t>مخرج انارة بأسلاك 3×3 مم2 نحاس</t>
  </si>
  <si>
    <t>محطة الكهرباء بالوقع العام كشاف ليد بانل 120سم بالسقف</t>
  </si>
  <si>
    <t>أعمال كهرباء 25</t>
  </si>
  <si>
    <t>كشاف ليد بانل 120*30سم - 40 وات 220و فولت و 60 هرتز للتركيب لاتش بالسقف وبدرجة حرارة لون لاتقل عن 4000 كلفن</t>
  </si>
  <si>
    <t>محطة الكهرباء بالوقع العام كشاف ليد بانل 120سم بالحائط</t>
  </si>
  <si>
    <t>أعمال كهرباء 26</t>
  </si>
  <si>
    <t>كشاف ليد بانل 120*30سم - 40 وات 220و فولت و 60 هرتز للتركيب علي الحائط وبدرجة حرارة لون لاتقل عن 4000 كلفن</t>
  </si>
  <si>
    <t>محطة الكهرباء بالوقع العام وحدة انارة عين بقرة 12 واط</t>
  </si>
  <si>
    <t>أعمال كهرباء 27</t>
  </si>
  <si>
    <t>وحدة انارة عين بقرة LED وبقدرة 12 وات ليد بدرجة حرارة لون 3000 كلفن و230 فولت و 60 هرتز كاملة بكافة مايلزم بدرجة حماية IP54</t>
  </si>
  <si>
    <t>محطة الكهرباء بالوقع العام نظام الانذار المبكر للحريق</t>
  </si>
  <si>
    <t>أعمال كهرباء 28</t>
  </si>
  <si>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</si>
  <si>
    <t>محطة الكهرباء بالوقع العام كاشف دخان</t>
  </si>
  <si>
    <t>أعمال كهرباء 29</t>
  </si>
  <si>
    <t>كاشف انذار دخان من النوع المعنون</t>
  </si>
  <si>
    <t>محطة الكهرباء بالوقع العام كاشف انذار حرارى</t>
  </si>
  <si>
    <t>أعمال كهرباء 30</t>
  </si>
  <si>
    <t>كاشف أنذار حراري من النوع المعنون</t>
  </si>
  <si>
    <t>محطة الكهرباء بالوقع العام وحدة كاسر زجاجى</t>
  </si>
  <si>
    <t>أعمال كهرباء 31</t>
  </si>
  <si>
    <t>وحدة كاسر زجاجى</t>
  </si>
  <si>
    <t>محطة الكهرباء بالوقع العام جرس انذار</t>
  </si>
  <si>
    <t>أعمال كهرباء 32</t>
  </si>
  <si>
    <t>جرس إنذار من النوع المقاوم للعوامل الجوية</t>
  </si>
  <si>
    <t>محطة الكهرباء بالوقع العام جرس انذار وحدة مراقبة</t>
  </si>
  <si>
    <t>أعمال كهرباء 33</t>
  </si>
  <si>
    <t>وحدة مراقبة من النوع المقاوم للعوامل الجوية</t>
  </si>
  <si>
    <t>غرفة الحراسة تركيب لوحة توزيع الكهرباء</t>
  </si>
  <si>
    <t>أعمال كهرباء 34</t>
  </si>
  <si>
    <t>EDB-GUARD</t>
  </si>
  <si>
    <t>غرفة الحراسة تركيب مقبس احادى الطور 16 امبير</t>
  </si>
  <si>
    <t>أعمال كهرباء 35</t>
  </si>
  <si>
    <t>مقبس احادي الطور(1P+N+E) مزدوج 16 امبير م بأسلاك 3*3 مم2 نحاس</t>
  </si>
  <si>
    <t>غرفة الحراسة تركيب مقبس احادى الطور 20 امبير</t>
  </si>
  <si>
    <t>أعمال كهرباء 36</t>
  </si>
  <si>
    <t>مفتاح فصل وتشغيل (1P+E) 20أمبير - 230 فولت باسلاك 4*3 مم2 نحاسمن النوع ىالمقاوم للعوامل الجويه لزوم السخان من المفتاح الى اللوحة ومن المفتاح الى السخان والمفتاح مزود بلمبة بيان</t>
  </si>
  <si>
    <t>غرفة الحراسة تركيب مقبس احادى الطور 25 امبير</t>
  </si>
  <si>
    <t>أعمال كهرباء 37</t>
  </si>
  <si>
    <t>مفتاح فصل وتشغيل (1P+E) 25أمبير - 230 فولت باسلاك 6*3 مم2 نحاس لزوم التكييف من المفتاح الى اللوحة ومن المفتاح الى المروحة والمفتاح مزود بلمبة بيان</t>
  </si>
  <si>
    <t>غرفة الحراسة تركيب مقبس احادى الطور 10 امبير</t>
  </si>
  <si>
    <t>أعمال كهرباء 38</t>
  </si>
  <si>
    <t>مفتاح اتجاة واحد بعدد 1 لقمة 10 أمبير ,230 فولت من النوع المقاوم للعوامل الجويه</t>
  </si>
  <si>
    <t>غرفة الحراسة تركيب مقبس احادى الطور 10 امبير أ</t>
  </si>
  <si>
    <t>أعمال كهرباء 39</t>
  </si>
  <si>
    <t>مفتاح اتجاة واحد بعدد 1 لقمة 10 أمبير ,230 فولت</t>
  </si>
  <si>
    <t>غرفة الحراسة تركيب مخرج انارة</t>
  </si>
  <si>
    <t>أعمال كهرباء 40</t>
  </si>
  <si>
    <t>غرفة الحراسة تركيب كشاف ليد بانل</t>
  </si>
  <si>
    <t>أعمال كهرباء 41</t>
  </si>
  <si>
    <t>كشاف ليد بانل 60*60سم - 40 وات 220و فولت و 60 هرتز للتركيب غاطس بالسقف وبدرجة حرارة لون لاتقل عن 4000 كلفن</t>
  </si>
  <si>
    <t>غرفة الحراسة تركيب سبوت ليد</t>
  </si>
  <si>
    <t>أعمال كهرباء 42</t>
  </si>
  <si>
    <t>سبوت ليد - 12 وات 220و فولت و 60 هرتز للتركيب غاطس بالسقف من النوع المقاوم للعوامل الجوية وبدرجة حرارة لون لاتقل عن 4000 كلفن</t>
  </si>
  <si>
    <t>غرفة الحراسة تركيب مخرج حريق</t>
  </si>
  <si>
    <t>أعمال كهرباء 43</t>
  </si>
  <si>
    <t>غرفة الحراسة تركيب وحدة كاسر زجاجى</t>
  </si>
  <si>
    <t>أعمال كهرباء 44</t>
  </si>
  <si>
    <t>وحدة كاسر زجاجى من النوع المقاوم للعوامل الجوية</t>
  </si>
  <si>
    <t>غرفة الحراسة تركيب جرس انذار</t>
  </si>
  <si>
    <t>أعمال كهرباء 45</t>
  </si>
  <si>
    <t>غرفة الحراسة تركيب كاشف انذار</t>
  </si>
  <si>
    <t>أعمال كهرباء 46</t>
  </si>
  <si>
    <t>غرفة الحراسة تركيب لوحة تكرارية</t>
  </si>
  <si>
    <t>أعمال كهرباء 47</t>
  </si>
  <si>
    <t>لوحة تكرارية</t>
  </si>
  <si>
    <t>غرفة المضخة تركيب لوحة توزيع الكهرباء</t>
  </si>
  <si>
    <t>أعمال كهرباء 48</t>
  </si>
  <si>
    <t>EDB-PUMP</t>
  </si>
  <si>
    <t>غرفة المضخة تركيب كابل 4</t>
  </si>
  <si>
    <t>أعمال كهرباء 49</t>
  </si>
  <si>
    <t>كابل( 4*4)+1*4 مم2 نحاس</t>
  </si>
  <si>
    <t>غرفة المضخة تركيب كابل 10</t>
  </si>
  <si>
    <t>أعمال كهرباء 50</t>
  </si>
  <si>
    <t>كابل( 4*10)+1*10 مم2 نحاس</t>
  </si>
  <si>
    <t>غرفة المضخة تركيب كابل 185</t>
  </si>
  <si>
    <t>أعمال كهرباء 51</t>
  </si>
  <si>
    <t>كابل( 4*185)+1*95 مم2 نحاس</t>
  </si>
  <si>
    <t>غرفة المضخة تركيب مقبس احادي الطور 16 امبير</t>
  </si>
  <si>
    <t>أعمال كهرباء 52</t>
  </si>
  <si>
    <t>مقبس احادي الطور(1P+N+E) مزدوج 16 امبير من النوع المقاوم للماء WATER PROOF بدرجة حماية IP=54 (قوى) بأسلاك 3*4 مم2 نحاس</t>
  </si>
  <si>
    <t>غرفة المضخة تركيب مقبس احادي الطور 20 امبير</t>
  </si>
  <si>
    <t>أعمال كهرباء 53</t>
  </si>
  <si>
    <t>مفتاح فصل وتشغيل (3P+N+E) 20أمبير - 415 فولت من النوع المضاد للمياه IP54 لزوم طلمبات المياه والغسيل والري من المفتاح الى اللوحة ومن المفتاح الى المروحة والمفتاح مزود بلمبة بيان</t>
  </si>
  <si>
    <t>غرفة المضخة تركيب مقبس احادي الطور 40 امبير</t>
  </si>
  <si>
    <t>أعمال كهرباء 54</t>
  </si>
  <si>
    <t>مفتاح فصل وتشغيل (3P+N+E) 40أمبير - 415 فولت من النوع المضاد للمياه IP54 لزوم طلمبة الحريق الجوكي من المفتاح الى اللوحة ومن المفتاح الى المروحة والمفتاح مزود بلمبة بيان</t>
  </si>
  <si>
    <t>غرفة المضخة تركيب مقبس احادي الطور 40 امبير مضاد للمياه</t>
  </si>
  <si>
    <t>أعمال كهرباء 55</t>
  </si>
  <si>
    <t>مفتاح فصل وتشغيل (3P+N+E) 40أمبير - 415 فولت من النوع المضاد للمياه IP54 لزوم طلمبة الحريق الكهرباء من المفتاح الى اللوحة ومن المفتاح الى المروحة والمفتاح مزود بلمبة بيان</t>
  </si>
  <si>
    <t>غرفة المضخة تركيب مقبس احادي الطور 10 امبير مضاد للمياه</t>
  </si>
  <si>
    <t>أعمال كهرباء 56</t>
  </si>
  <si>
    <t>مفتاح اتجاة واحد بعدد 2 لقمة 10 أمبير ,230 فولت من النوع المقاوم للعوامل الجوية IP=54 WATER PROOF</t>
  </si>
  <si>
    <t>غرفة المضخة تركيب مخرج انارة</t>
  </si>
  <si>
    <t>أعمال كهرباء 57</t>
  </si>
  <si>
    <t>غرفة المضخة تركيب كشاف ليد بانل</t>
  </si>
  <si>
    <t>أعمال كهرباء 58</t>
  </si>
  <si>
    <t>كشاف ليد بانل 30*120سم - 40 وات 220و فولت و 60 هرتز للتركيب بارز بالسقف او الحائط وغطاء بريزماتيك وبدرجة حرارة لون لاتقل عن 4000 كلفن وبدرجة حماية IP=54</t>
  </si>
  <si>
    <t>سكن العمال تركيب أنظمة اللوحات الكهربائية</t>
  </si>
  <si>
    <t>أعمال كهرباء 59</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</si>
  <si>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 ويشمل الغطاء وكل الإكسسوارات المطلوبة ومحمل علي البند كابل الربط بين نظام الارضي واللوحات العمومية وذلك طبقا للحسابات مقاومة التربة</t>
  </si>
  <si>
    <t>سكن العمال تركيب أنظمة التيار الخفيف</t>
  </si>
  <si>
    <t>أعمال كهرباء 60</t>
  </si>
  <si>
    <t>بالعدد توريد وتركيب وتوصيل وإختبار نظام أرضى لأنظمة التيار الخفيف كامل بغرف التفتيش والألكترودات النحاسية والقضبان النحاسية والكابلات ولحامات البوتقة و test link وذلك من مكان البئر وحتى أنظمة التيار الخفيف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2 اوم للتيار الخفيف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</si>
  <si>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سكن العمال لوحات توزيع</t>
  </si>
  <si>
    <t>أعمال كهرباء 61</t>
  </si>
  <si>
    <t>DB-RE</t>
  </si>
  <si>
    <t>سكن العمال تركيب كابلات الجهد المنخفض 35</t>
  </si>
  <si>
    <t>أعمال كهرباء 62</t>
  </si>
  <si>
    <t>كابل( 4*95)+1*50 مم2 نحاس</t>
  </si>
  <si>
    <t>سكن العمال تركيب مقبس احادي الطور 16 امبير</t>
  </si>
  <si>
    <t>أعمال كهرباء 63</t>
  </si>
  <si>
    <t>مقبس احادي الطور(1P+N+E) احادي 16 امبير بأسلاك 3*4 مم2 نحاس</t>
  </si>
  <si>
    <t>سكن العمال مقيس احادى الطور 16</t>
  </si>
  <si>
    <t>أعمال كهرباء 64</t>
  </si>
  <si>
    <t>مقبس احادي الطور(1P+N+E) ثنائي 16 امبير بأسلاك 3*4 مم2 نحاس</t>
  </si>
  <si>
    <t>سكن العمال مقيس احادى الطور 32 امبير</t>
  </si>
  <si>
    <t>أعمال كهرباء 65</t>
  </si>
  <si>
    <t>مقبس احادي الطور(1P+N+E) احادي 32 امبير بأسلاك 3*6 مم2 نحاس</t>
  </si>
  <si>
    <t>سكن العمال مقيس احادى الطور 20 امبير مقاوم للماء بدرجة حماية</t>
  </si>
  <si>
    <t>أعمال كهرباء 66</t>
  </si>
  <si>
    <t>مقبس احادي الطور(1P+N+E) احادي 20 امبير من النوع المقاوم للماء WATER PROOF بدرجة حماية IP=54 (قوى) بأسلاك 3*4 مم2 نحاس</t>
  </si>
  <si>
    <t>سكن العمال مفتاح الفصل والتشغيل للسخانات</t>
  </si>
  <si>
    <t>أعمال كهرباء 67</t>
  </si>
  <si>
    <t>مفتاح فصل وتشغيل (1P+N) 20أمبير - 230 فولت من النوع المضاد للمياه IP54 لزوم السخانات من المفتاح الى اللوحة ومن المفتاح الى المروحة والمفتاح مزود بلمبة بيان</t>
  </si>
  <si>
    <t>سكن العمال مفتاح الفصل والتشغيل للمغسلة</t>
  </si>
  <si>
    <t>أعمال كهرباء 68</t>
  </si>
  <si>
    <t>مفتاح فصل وتشغيل (1P+E) 32أمبير - 230 فولت باسلاك 6*3 مم2 نحاس لزوم المغسلة من المفتاح الى اللوحة ومن المفتاح الى المروحة والمفتاح مزود بلمبة بيان</t>
  </si>
  <si>
    <t>سكن العمال مفتاح الفصل والتشغيل للتكيفات</t>
  </si>
  <si>
    <t>أعمال كهرباء 69</t>
  </si>
  <si>
    <t>مفتاح فصل وتشغيل (1P+E) 40أمبير - 230 فولت باسلاك 10*3 مم2 نحاس لزوم التكييفات من المفتاح الى اللوحة ومن المفتاح الى المروحة والمفتاح مزود بلمبة بيان</t>
  </si>
  <si>
    <t>سكن العمال مفتاح التحكم اتجاه واحد 1 لقمة</t>
  </si>
  <si>
    <t>أعمال كهرباء 70</t>
  </si>
  <si>
    <t>سكن العمال مفتاح التحكم اتجاه واحد 2 لقمة</t>
  </si>
  <si>
    <t>أعمال كهرباء 71</t>
  </si>
  <si>
    <t>مفتاح اتجاة واحد بعدد 2 لقمة 10 أمبير ,230 فولت</t>
  </si>
  <si>
    <t>سكن العمال مفتاح التحكم اتجاه واحد 2 لقمة مقاوم للعوامل الجوية</t>
  </si>
  <si>
    <t>أعمال كهرباء 72</t>
  </si>
  <si>
    <t>سكن العمال تركيب مخرج الانارة</t>
  </si>
  <si>
    <t>أعمال كهرباء 73</t>
  </si>
  <si>
    <t>سكن العمال وحدة انارة سبوت دائرى 16 واط</t>
  </si>
  <si>
    <t>أعمال كهرباء 74</t>
  </si>
  <si>
    <t>وحدة انارة عبارة عن سبوت دائرى LED SPOT بارز قطر 20 سم وبقدرة 16 وات ليد بدرجة حرارة لون 3000 كلفن و230 فولت و 60 هرتز كاملة بكافة مايلزم</t>
  </si>
  <si>
    <t>سكن العمال وحدة انارة سبوت دائرى 12 واط</t>
  </si>
  <si>
    <t>أعمال كهرباء 75</t>
  </si>
  <si>
    <t>وحدة انارة عبارة عن سبوت دائرى LED SPOT بارز قطر 16 سم وبقدرة 12 وات ليد بدرجة حرارة لون 3000 كلفن و230 فولت و 60 هرتز كاملة بكافة مايلزم</t>
  </si>
  <si>
    <t>سكن العمال وحدة انارة سبوت دائرى 7 واط</t>
  </si>
  <si>
    <t>أعمال كهرباء 76</t>
  </si>
  <si>
    <t>وحدة انارة عبارة عن سبوت دائرى LED SPOT بارز قطر 10 سم وبقدرة 7 وات ليد بدرجة حرارة لون 3000 كلفن و230 فولت و 60 هرتز كاملة بكافة مايلزم</t>
  </si>
  <si>
    <t>سكن العمال وحدة انارة سبوت دائرى 7 واط من النوع المقاوم للعوامل الجويه</t>
  </si>
  <si>
    <t>أعمال كهرباء 77</t>
  </si>
  <si>
    <t>وحدة انارة عبارة عن سبوت مربع LED SPOT غاطس وبقدرة 7 وات ليد بدرجة حرارة لون 3000 كلفن و230 فولت و 60 هرتز كاملة بكافة مايلزم بدرجة حماية IP54</t>
  </si>
  <si>
    <t>سكن العمال وحدة انارة سبوت دائرى 5 واط من النوع المقاوم للعوامل الجويه</t>
  </si>
  <si>
    <t>أعمال كهرباء 78</t>
  </si>
  <si>
    <t>وحدة انارة عبارة عن سبوت مربع LED SPOT غاطس وبقدرة 5 وات ليد بدرجة حرارة لون 3000 كلفن و230 فولت و 60 هرتز كاملة بكافة مايلزم بدرجة حماية IP54</t>
  </si>
  <si>
    <t>سكن العمال وحدة انارة عين بقرة 12 واط</t>
  </si>
  <si>
    <t>أعمال كهرباء 79</t>
  </si>
  <si>
    <t>سكن العمال تركيب نظام الانذار المبكر للحريق</t>
  </si>
  <si>
    <t>أعمال كهرباء 80</t>
  </si>
  <si>
    <t>سكن العمال تركيب كاشف دخان</t>
  </si>
  <si>
    <t>أعمال كهرباء 81</t>
  </si>
  <si>
    <t>سكن العمال تركيب كاشف انذار حرارى</t>
  </si>
  <si>
    <t>أعمال كهرباء 82</t>
  </si>
  <si>
    <t>سكن العمال تركيب وحدة كاسر زجاجى</t>
  </si>
  <si>
    <t>أعمال كهرباء 83</t>
  </si>
  <si>
    <t>سكن العمال تركيب جرس انذار</t>
  </si>
  <si>
    <t>أعمال كهرباء 84</t>
  </si>
  <si>
    <t>جرس إنذار</t>
  </si>
  <si>
    <t>سكن العمال تركيب وحدة تحكم</t>
  </si>
  <si>
    <t>أعمال كهرباء 85</t>
  </si>
  <si>
    <t>وحدة تحكم من النوع المعنون</t>
  </si>
  <si>
    <t>سكن العمال تركيب لوحة توزيع الياف ضوئية</t>
  </si>
  <si>
    <t>أعمال كهرباء 86</t>
  </si>
  <si>
    <t>لوحة توزيع نظام كابلات الألياف الضوئية مزودة بعدد (12) موصل من النوع multi-mode</t>
  </si>
  <si>
    <t>سكن العمال تركيب سويتش</t>
  </si>
  <si>
    <t>أعمال كهرباء 87</t>
  </si>
  <si>
    <t>سويتش Switch 24-port POE</t>
  </si>
  <si>
    <t>سكن العمال تركيب لوحة توزيع</t>
  </si>
  <si>
    <t>أعمال كهرباء 88</t>
  </si>
  <si>
    <t>لوحة توزيع UTP CAT 6 لعدد 24 مخرج</t>
  </si>
  <si>
    <t>سكن العمال تركيب كابينة البيانات</t>
  </si>
  <si>
    <t>أعمال كهرباء 89</t>
  </si>
  <si>
    <t>كابينة البيانات Data Rack 26U</t>
  </si>
  <si>
    <t>سكن العمال تركيب كرد التوصيل 1 متر</t>
  </si>
  <si>
    <t>أعمال كهرباء 90</t>
  </si>
  <si>
    <t>بالعدد توريد وتركيب وتوصيل وتشغيل كرد التوصيل PATCH CORD من النوع (UTP-CAT6-RJ45) بطول 1 متر</t>
  </si>
  <si>
    <t>سكن العمال تركيب كرد التوصيل 3 متر</t>
  </si>
  <si>
    <t>أعمال كهرباء 91</t>
  </si>
  <si>
    <t>بالعدد توريد وتركيب وتوصيل وتشغيل كرد التوصيل PATCH CORD من النوع (UTP-CAT6-RJ45) بطول 3 متر</t>
  </si>
  <si>
    <t>سكن العمال تركيب وحدات نقاط لاسلكية</t>
  </si>
  <si>
    <t>أعمال كهرباء 92</t>
  </si>
  <si>
    <t>وحدات نقاط لاسلكية (WAP)</t>
  </si>
  <si>
    <t>سكن العمال تركيب مأخذ وحدة ادخال بيانات</t>
  </si>
  <si>
    <t>أعمال كهرباء 93</t>
  </si>
  <si>
    <t>مأخذ وحدة ادخال بيانات مركب على الحائط</t>
  </si>
  <si>
    <t>سكن العمال مخرج وحدة تليفونات</t>
  </si>
  <si>
    <t>أعمال كهرباء 94</t>
  </si>
  <si>
    <t>مخرج وحدة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</si>
  <si>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مأخذ وحدة تليفون</t>
  </si>
  <si>
    <t>أعمال كهرباء 95</t>
  </si>
  <si>
    <t>مأخذ وحدة تليفون مركب على الحائط</t>
  </si>
  <si>
    <t>سكن العمال مأخذ وحدة تليفون من النوع المقاوم</t>
  </si>
  <si>
    <t>أعمال كهرباء 96</t>
  </si>
  <si>
    <t>مأخذ وحدة تليفون مركب على الحائط من النوع المقاوم للعوامل الجوية IP=54 WATER PROOF</t>
  </si>
  <si>
    <t>سكن العمال تركيب مخرج وحدة ادخال بيانات</t>
  </si>
  <si>
    <t>أعمال كهرباء 97</t>
  </si>
  <si>
    <t>مخرج وحدة ادخال بيانات او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</si>
  <si>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كاميرا مراقبة ملونة خارجية</t>
  </si>
  <si>
    <t>أعمال كهرباء 98</t>
  </si>
  <si>
    <t>كاميرا مراقبة ملونة IP تثبيت حائطي (OUTDOOR BULLET Camera with Full HD 4 MP 20 fps image with a 1/3" 4 megapixel sensor and Wide Dynamic Range, up to 120 dB, ensures glare-free images withTrue Day/Night provides vivid color images by day and clear black-and-white images at night with ICR with Excellent low-light performance with 3D noise reduction, saving storage and bandwidth 28 mm fixed lens , POE H264 and MJPEG codec, triple stream support and IR LEDs provide up to (30 m) of illumination in dimly lit or nighttime scenes (depending on scene reflectance) and Smart IR technology provides even distribution of IR withWeatherproof (IP66) and vandal-resistant (IK10) camera housing –30°C to 60°C (–22°F to 140°F) working temperature Plug-and-play compatible with Honeywell 4/8/16-channel and Performance Series Embedded NVRs POE support --- support SD card</t>
  </si>
  <si>
    <t>سكن العمال تركيب كاميرا مراقبة ملونة داخلية</t>
  </si>
  <si>
    <t>أعمال كهرباء 99</t>
  </si>
  <si>
    <t>كاميرا مراقبة ملونة IP تثبيت حائطي (intdoor Fixed IN WALL Dome Camera Full HD 4 MP 20 fps image with a 1/3" 4 megapixel sensor with Wide Dynamic Range, up to 120 dB, ensures glare-free images with True Day/Night provides vivid color images by day and clear black-and-white images at night with ICR and Excellent low-light performance with 3D noise reduction, saving storage and bandwidth and 28 mm fixed lens POE and H264 and MJPEG codec with triple stream support and IR LEDs provide up to (30 m) of illumination in dimly lit and or nighttime scenes (depending on scene reflectance) and Smart IR technology provides even distribution of IR Weatherproof (IP66) and vandal-resistant (IK10) camera housing –30°C to 60°C (–22°F to 140°F) working temperature and Plug-and-play compatible with Honeywell 4/8/16-channel and Performance Series Embedded NVRs POE support SD card</t>
  </si>
  <si>
    <t>سكن العمال تركيب مخرج كاميرا</t>
  </si>
  <si>
    <t>أعمال كهرباء 100</t>
  </si>
  <si>
    <t>مخرج كاميرا يشمل المواسير والعلب والاسلاك والكابلات cat6 و 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</si>
  <si>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نظام تليفون</t>
  </si>
  <si>
    <t>أعمال كهرباء 101</t>
  </si>
  <si>
    <t>توريد وتركيب واختبار و تشغيل تجريبي نظام التليفزيون و تشمل البريزة و مخرجها ومخرج للاقمار الصناعية و نقاط توزيع و جهاز تقسيم و المواسير والعلب والاسلاك والكابلات وحوامل الكابلات و صناديق السحب و جميع الملحقات والمواد الاضافية اللازمة لاتمام العمل علي الوجه الكامل كما هو موضح بالرسومات والمواصفات الفنية</t>
  </si>
  <si>
    <t>مبنى العيادة تركيب نظام أرضي</t>
  </si>
  <si>
    <t>أعمال كهرباء 102</t>
  </si>
  <si>
    <t>بالمقطوعية توريد وتركيب وتوصيل وإختبار نظام أرضى</t>
  </si>
  <si>
    <t>مبنى العيادة تركيب لوحات توزيع الانارة</t>
  </si>
  <si>
    <t>أعمال كهرباء 103</t>
  </si>
  <si>
    <t>مبنى العيادة تركيب مقبس احادي الطور</t>
  </si>
  <si>
    <t>أعمال كهرباء 104</t>
  </si>
  <si>
    <t>مقبس احادي الطور(1P+N+E) مزدوج 16 امبير بأسلاك 3*4 مم2 نحاس</t>
  </si>
  <si>
    <t>مبنى العيادة مقبس احادى الطور20A</t>
  </si>
  <si>
    <t>أعمال كهرباء 105</t>
  </si>
  <si>
    <t>مقبس احادي الطور(1P+N+E) فردي 20 امبير بأسلاك 3*4 مم2 نحاس</t>
  </si>
  <si>
    <t>مبنى العيادة تركيب مفتاح فصل وتشغيل 25 امبير</t>
  </si>
  <si>
    <t>أعمال كهرباء 106</t>
  </si>
  <si>
    <t>مبنى العيادة تركيب مفتاح فصل وتشغيل 20 امبير</t>
  </si>
  <si>
    <t>أعمال كهرباء 107</t>
  </si>
  <si>
    <t>مفتاح فصل وتشغيل (1P+E) 20أمبير - 230 فولت باسلاك 4*3 مم2 نحاس لزوم السخان من المفتاح الى اللوحة ومن المفتاح الى السخان والمفتاح مزود بلمبة بيان</t>
  </si>
  <si>
    <t>مبنى العيادة تركيب مفتاح اتجاه واحد 1 لقمة 10 امبير</t>
  </si>
  <si>
    <t>أعمال كهرباء 108</t>
  </si>
  <si>
    <t>مبنى العيادة تركيب مخرج انارة</t>
  </si>
  <si>
    <t>أعمال كهرباء 109</t>
  </si>
  <si>
    <t>مبنى العيادة تركيب كشاف ليد بانل</t>
  </si>
  <si>
    <t>أعمال كهرباء 110</t>
  </si>
  <si>
    <t>مبنى العيادة تركيب وحدة انارة سبوت دائرى</t>
  </si>
  <si>
    <t>أعمال كهرباء 111</t>
  </si>
  <si>
    <t>وحدة انارة عبارة عن سبوت دائرى LED SPOT غاطس قطر 20 سم وبقدرة 12 وات ليد بدرجة حرارة لون 3000 كلفن و230 فولت و 60 هرتز كاملة بكافة مايلزم بدرجة حماية IP54</t>
  </si>
  <si>
    <t>مبنى العيادة تركيب مخرج حريق</t>
  </si>
  <si>
    <t>أعمال كهرباء 112</t>
  </si>
  <si>
    <t>مبنى العيادة تركيب كاشف انذار دخان</t>
  </si>
  <si>
    <t>أعمال كهرباء 113</t>
  </si>
  <si>
    <t>مبنى العيادة تركيب وحدة ادخال بيانات</t>
  </si>
  <si>
    <t>أعمال كهرباء 114</t>
  </si>
  <si>
    <t>مبنى العيادة تركيب وحدة تليفون</t>
  </si>
  <si>
    <t>أعمال كهرباء 115</t>
  </si>
  <si>
    <t>مبنى العيادة تركيب مخرج وحدة بيانات او تليفون</t>
  </si>
  <si>
    <t>أعمال كهرباء 116</t>
  </si>
  <si>
    <t>مخزن الاعلاف تركيب لوحة توزيع 1</t>
  </si>
  <si>
    <t>أعمال كهرباء 117</t>
  </si>
  <si>
    <t>DB-WA1بالعدد توريد وتركيب وإختبار لوحات توزيع الإنارة والقوى كاملة بكافة المكونات ووسائل التركيب والتثبيت كما هو وارد بالمواصفات وموضح بالمخطاطات بقاطع رئيسي مع تحمل تيار وسعة قطع طبقا لأكبر تيار قصر والبند يشمل توريد وتركيب وتوصيل واختبار وتشغيل الكابلات الخارجة من اللوحة ومغذية للاحمال الفرعية كما بالمخططات و طبقا لاصول الصناعة وعمل كل ما يلزم لتسليم الاعمال في وضع التشغيل الامثل والبند يشمل جميع الأعمال المساعدة واللازمة للتركيب وتوصيل كابلات الدخول والخروج على لوحات التوزيع كاملة بالنهايات اللازمة ووسائل الترقيم</t>
  </si>
  <si>
    <t>مخزن الاعلاف تركيب لوحة توزيع 2</t>
  </si>
  <si>
    <t>أعمال كهرباء 118</t>
  </si>
  <si>
    <t>DB-WA2</t>
  </si>
  <si>
    <t>مخزن الاعلاف تركيب مقبس احادي الطور</t>
  </si>
  <si>
    <t>أعمال كهرباء 119</t>
  </si>
  <si>
    <t>مخزن الاعلاف تركيب مفتاح فصل وتشغيل</t>
  </si>
  <si>
    <t>أعمال كهرباء 120</t>
  </si>
  <si>
    <t>مفتاح فصل وتشغيل (3P+N+E) 20أمبير - 400 فولت من النوع المضاد للمياه IP54 لزوم وحدات التكيف من المفتاح الى اللوحة ومن المفتاح الى وحده التكيف والمفتاح مزود بلمبة بيان</t>
  </si>
  <si>
    <t>مخزن الاعلاف تركيب مفتاح اتجاه واحد</t>
  </si>
  <si>
    <t>أعمال كهرباء 121</t>
  </si>
  <si>
    <t>مفتاح اتجاه واحد بعدد 2 لقمة 10 أمبير ,230 فولت من النوع المقاوم للعوامل الجوية IP=54 WATER PROOF</t>
  </si>
  <si>
    <t>مخزن الاعلاف تركيب مخارج الانارة</t>
  </si>
  <si>
    <t>أعمال كهرباء 122</t>
  </si>
  <si>
    <t>بالعدد توريد وتركيب وتوصيل واختبار وتشغيل مخارج الانارة مع كل لوازم التركيب والتشغيل من اسلاك وعلب وأنابيب واكسسوارات وخلافة مع العلم بأن كافة التمديدات الخارجية للضرورة تكون من مواسير الEMT المعدنية ومحمل عليه نهو العمل نهوا تاما طبقا للمخططات والمواصفات الفنية وأصول الصناعة وتعليمات المهندس المشرف مما جميعه وعلي المقاول تقديم العينات والكتالوجات ومخططات الورشة للاعتماد قبل البدء في التوريد من المهندس المشرف وحسب الجهد المتوفر بالمبني مخرج انارة بأسلاك 3×3 مم2 نحاس</t>
  </si>
  <si>
    <t>مخزن الاعلاف تركيب كشاف ليد</t>
  </si>
  <si>
    <t>أعمال كهرباء 123</t>
  </si>
  <si>
    <t>كشاف ليد(hay bay)95 وات 220و فولت و 60 هرتز للتركيب بارز بالسقف او الحائط وغطاء بريزماتيك وبدرجة حرارة لون لاتقل عن 4000 كلفن وبدرجة حماية IP=54</t>
  </si>
  <si>
    <t>مخزن الاعلاف تركيب مخرج حريق</t>
  </si>
  <si>
    <t>أعمال كهرباء 124</t>
  </si>
  <si>
    <t>مخزن الاعلاف تركيب كاسر زجاجى</t>
  </si>
  <si>
    <t>أعمال كهرباء 125</t>
  </si>
  <si>
    <t>مخزن الاعلاف تركيب جرس إنذار</t>
  </si>
  <si>
    <t>أعمال كهرباء 126</t>
  </si>
  <si>
    <t>مخزن الأعلاف تركيب كاشف اشعاعي</t>
  </si>
  <si>
    <t>أعمال كهرباء 127</t>
  </si>
  <si>
    <t>كاشف اشعاعي (beam detector)</t>
  </si>
  <si>
    <t>شاشة ملونة</t>
  </si>
  <si>
    <t>أعمال كهرباء 128</t>
  </si>
  <si>
    <t>توريد وتركيب وتوصيل وتشغيل تجريبي واختبار شاشة عرض من نوع LED مقاس 55 بوصة وتشمل الحامل الخاص بالتعليق على الجدار وتتوافق مع نظام الكاميرات وتكون من أجود الماركات وعمل كل مايلزم لإنهاء العمل طبقاً للمواصفات الفنية وحسب أصول الصناعة وتعليمات المهندس المشرف</t>
  </si>
  <si>
    <t>مسجل فيديو للشبكة</t>
  </si>
  <si>
    <t>أعمال كهرباء 129</t>
  </si>
  <si>
    <t>توريد وتركيب وتوصيل وبرمجة واختبار وحدة تسجیل الفیدیو طراز NVR 16 CHANNEL لتشغيل ودعم عدد ( 10 ) كاميرا ويحتوي على 3 مخارج رؤية - VGA – Display Port - HDMI ومزود بمقسم للصورة ومبدل بنظام انضغاطي ومدخل تسلسلي 4 منافذ شبكة شاملا وحدة التثبيت وبمدي تسجيل لا يقل عن 50 يوم والجهاز كامل بمحطة العمل والقرص الصلب بسعة مناسبة مع امكانية التوسعة بإضافة اعداد من الاقراص الصلبة و يدعم نظام RAID 5 ومعالج البيانات ( Intel Core i7 Processors ) او الاحدث منة , و نظام احتياطي للتغذية الكهرباء ( وحدة UPS ) للعمل 120 دقيقة وناسخ الاقراص وأجهزة الإنذار ومداخل ومخارج الصوت وجميع ما يلزم من اكسسوارات واعمال اخرى</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</si>
</sst>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_-;\-* #,##0_-;_-* &quot;-&quot;??_-;_-@_-"/>
    <numFmt numFmtId="179" formatCode="_-* #,##0.00\ _ر_._س_._‏_-;\-* #,##0.00\ _ر_._س_._‏_-;_-* &quot;-&quot;??\ _ر_._س_._‏_-;_-@_-"/>
  </numFmts>
  <fonts count="28">
    <font>
      <sz val="11"/>
      <color theme="1"/>
      <name val="Calibri"/>
      <charset val="178"/>
      <scheme val="minor"/>
    </font>
    <font>
      <sz val="14"/>
      <color theme="1"/>
      <name val="Arial"/>
      <charset val="134"/>
    </font>
    <font>
      <sz val="20"/>
      <color theme="1"/>
      <name val="Arial"/>
      <charset val="134"/>
    </font>
    <font>
      <b/>
      <sz val="14"/>
      <color rgb="FFFAFAFA"/>
      <name val="Arial"/>
      <charset val="134"/>
    </font>
    <font>
      <sz val="14"/>
      <color rgb="FF00463F"/>
      <name val="Arial"/>
      <charset val="134"/>
    </font>
    <font>
      <b/>
      <sz val="20"/>
      <color rgb="FFFAFAFA"/>
      <name val="Arial"/>
      <charset val="134"/>
    </font>
    <font>
      <sz val="20"/>
      <color rgb="FF00463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rgb="FFFF0000"/>
      <name val="Arial"/>
      <charset val="134"/>
    </font>
  </fonts>
  <fills count="36">
    <fill>
      <patternFill patternType="none"/>
    </fill>
    <fill>
      <patternFill patternType="gray125"/>
    </fill>
    <fill>
      <patternFill patternType="solid">
        <fgColor rgb="FF29AD6F"/>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8">
    <xf numFmtId="0" fontId="0" fillId="0" borderId="0" xfId="0"/>
    <xf numFmtId="0" fontId="1" fillId="0" borderId="0" xfId="0" applyFont="1"/>
    <xf numFmtId="0" fontId="2" fillId="0" borderId="0" xfId="0" applyFont="1" applyAlignment="1">
      <alignment horizontal="center" vertical="center"/>
    </xf>
    <xf numFmtId="176" fontId="1" fillId="0" borderId="0" xfId="1" applyFont="1" applyAlignment="1">
      <alignment horizontal="center" vertical="center"/>
    </xf>
    <xf numFmtId="0" fontId="3" fillId="2" borderId="1" xfId="0" applyFont="1" applyFill="1" applyBorder="1" applyAlignment="1">
      <alignment horizontal="right" vertical="center" wrapText="1" readingOrder="2"/>
    </xf>
    <xf numFmtId="0" fontId="4" fillId="3" borderId="1" xfId="0" applyFont="1" applyFill="1" applyBorder="1" applyAlignment="1">
      <alignment horizontal="right" vertical="center" wrapText="1" readingOrder="2"/>
    </xf>
    <xf numFmtId="0" fontId="4" fillId="4" borderId="1" xfId="0" applyFont="1" applyFill="1" applyBorder="1" applyAlignment="1">
      <alignment horizontal="right" vertical="center" wrapText="1" readingOrder="2"/>
    </xf>
    <xf numFmtId="0" fontId="4" fillId="0" borderId="1" xfId="0" applyFont="1" applyBorder="1" applyAlignment="1">
      <alignment horizontal="right" vertical="center" wrapText="1" readingOrder="2"/>
    </xf>
    <xf numFmtId="178" fontId="2" fillId="0" borderId="0" xfId="0" applyNumberFormat="1" applyFont="1" applyAlignment="1">
      <alignment horizontal="center" vertical="center"/>
    </xf>
    <xf numFmtId="0" fontId="5" fillId="2" borderId="1" xfId="0" applyFont="1" applyFill="1" applyBorder="1" applyAlignment="1">
      <alignment horizontal="center" vertical="center" wrapText="1" readingOrder="2"/>
    </xf>
    <xf numFmtId="178" fontId="5" fillId="2" borderId="1" xfId="1" applyNumberFormat="1" applyFont="1" applyFill="1" applyBorder="1" applyAlignment="1">
      <alignment horizontal="center" vertical="center" wrapText="1" readingOrder="2"/>
    </xf>
    <xf numFmtId="0" fontId="6" fillId="3" borderId="1" xfId="0" applyFont="1" applyFill="1" applyBorder="1" applyAlignment="1">
      <alignment horizontal="center" vertical="center" wrapText="1" readingOrder="2"/>
    </xf>
    <xf numFmtId="179" fontId="6" fillId="3" borderId="1" xfId="0" applyNumberFormat="1" applyFont="1" applyFill="1" applyBorder="1" applyAlignment="1">
      <alignment horizontal="center" vertical="center" wrapText="1" readingOrder="2"/>
    </xf>
    <xf numFmtId="0" fontId="2" fillId="0" borderId="1" xfId="0" applyFont="1" applyBorder="1" applyAlignment="1">
      <alignment horizontal="center" vertical="center"/>
    </xf>
    <xf numFmtId="0" fontId="6" fillId="0" borderId="1" xfId="0" applyFont="1" applyBorder="1" applyAlignment="1">
      <alignment horizontal="center" vertical="center" wrapText="1" readingOrder="2"/>
    </xf>
    <xf numFmtId="179" fontId="6" fillId="0" borderId="1" xfId="0" applyNumberFormat="1" applyFont="1" applyBorder="1" applyAlignment="1">
      <alignment horizontal="center" vertical="center" wrapText="1" readingOrder="2"/>
    </xf>
    <xf numFmtId="178" fontId="6" fillId="0" borderId="1" xfId="1" applyNumberFormat="1" applyFont="1" applyFill="1" applyBorder="1" applyAlignment="1">
      <alignment horizontal="center" vertical="center" wrapText="1" readingOrder="2"/>
    </xf>
    <xf numFmtId="178" fontId="6" fillId="0" borderId="0" xfId="1" applyNumberFormat="1" applyFont="1" applyFill="1" applyBorder="1" applyAlignment="1">
      <alignment horizontal="center" vertical="center" wrapText="1" readingOrder="2"/>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1" defaultTableStyle="TableStyleMedium2" defaultPivotStyle="PivotStyleLight16">
    <tableStyle name="Invisible" pivot="0" table="0" count="0" xr9:uid="{4A376A7A-468E-483B-9707-012B5FE99E93}"/>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microsoft.com/office/2006/relationships/vbaProject" Target="vbaProject.bin"/><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D3:Q636"/>
  <sheetViews>
    <sheetView tabSelected="1" view="pageBreakPreview" zoomScale="61" zoomScaleNormal="40" topLeftCell="D1" workbookViewId="0">
      <pane ySplit="7" topLeftCell="A8" activePane="bottomLeft" state="frozen"/>
      <selection/>
      <selection pane="bottomLeft" activeCell="H10" sqref="H10"/>
    </sheetView>
  </sheetViews>
  <sheetFormatPr defaultColWidth="8.7037037037037" defaultRowHeight="24.6"/>
  <cols>
    <col min="1" max="3" width="8.7037037037037" style="1"/>
    <col min="4" max="5" width="12.5" style="1" customWidth="1"/>
    <col min="6" max="6" width="38.2962962962963" style="1" customWidth="1"/>
    <col min="7" max="7" width="23.2037037037037" style="1" hidden="1" customWidth="1"/>
    <col min="8" max="8" width="158.5" style="1" customWidth="1"/>
    <col min="9" max="9" width="8.7037037037037" style="2" customWidth="1"/>
    <col min="10" max="10" width="15.7037037037037" style="2" hidden="1" customWidth="1"/>
    <col min="11" max="11" width="19.7962962962963" style="2" hidden="1" customWidth="1"/>
    <col min="12" max="12" width="10.5" style="2" customWidth="1"/>
    <col min="13" max="13" width="18.7962962962963" style="2" customWidth="1"/>
    <col min="14" max="14" width="27.7962962962963" style="2" customWidth="1"/>
    <col min="15" max="15" width="41.2037037037037" style="2" customWidth="1"/>
    <col min="16" max="16" width="45.7037037037037" style="2" customWidth="1"/>
    <col min="17" max="16384" width="8.7037037037037" style="1"/>
  </cols>
  <sheetData>
    <row r="3" spans="6:15">
      <c r="F3" s="3"/>
      <c r="H3" s="1" t="s">
        <v>0</v>
      </c>
      <c r="O3" s="8">
        <f>O4+O4*15%</f>
        <v>12800000.25</v>
      </c>
    </row>
    <row r="4" spans="6:15">
      <c r="F4" s="3"/>
      <c r="H4" s="1" t="s">
        <v>1</v>
      </c>
      <c r="O4" s="8">
        <f>SUM(O8:O632)</f>
        <v>11130435</v>
      </c>
    </row>
    <row r="6" ht="14.4" spans="4:16">
      <c r="D6" s="4" t="s">
        <v>2</v>
      </c>
      <c r="E6" s="4" t="s">
        <v>3</v>
      </c>
      <c r="F6" s="4" t="s">
        <v>4</v>
      </c>
      <c r="G6" s="4" t="s">
        <v>5</v>
      </c>
      <c r="H6" s="4" t="s">
        <v>6</v>
      </c>
      <c r="I6" s="9" t="s">
        <v>7</v>
      </c>
      <c r="J6" s="9" t="s">
        <v>8</v>
      </c>
      <c r="K6" s="9" t="s">
        <v>9</v>
      </c>
      <c r="L6" s="9" t="s">
        <v>10</v>
      </c>
      <c r="M6" s="9" t="s">
        <v>11</v>
      </c>
      <c r="N6" s="10" t="s">
        <v>12</v>
      </c>
      <c r="O6" s="10" t="s">
        <v>13</v>
      </c>
      <c r="P6" s="10" t="s">
        <v>13</v>
      </c>
    </row>
    <row r="7" ht="14.4" spans="4:16">
      <c r="D7" s="4"/>
      <c r="E7" s="4"/>
      <c r="F7" s="4"/>
      <c r="G7" s="4"/>
      <c r="H7" s="4"/>
      <c r="I7" s="9"/>
      <c r="J7" s="9"/>
      <c r="K7" s="9"/>
      <c r="L7" s="9"/>
      <c r="M7" s="9"/>
      <c r="N7" s="10"/>
      <c r="O7" s="10"/>
      <c r="P7" s="10"/>
    </row>
    <row r="8" ht="34.8" spans="4:16">
      <c r="D8" s="5">
        <v>1</v>
      </c>
      <c r="E8" s="5">
        <v>1</v>
      </c>
      <c r="F8" s="5" t="s">
        <v>14</v>
      </c>
      <c r="G8" s="5" t="s">
        <v>15</v>
      </c>
      <c r="H8" s="5" t="s">
        <v>16</v>
      </c>
      <c r="I8" s="11" t="s">
        <v>17</v>
      </c>
      <c r="J8" s="11"/>
      <c r="K8" s="11" t="s">
        <v>18</v>
      </c>
      <c r="L8" s="11" t="s">
        <v>19</v>
      </c>
      <c r="M8" s="11">
        <v>26000</v>
      </c>
      <c r="N8" s="12">
        <v>50</v>
      </c>
      <c r="O8" s="12">
        <f t="shared" ref="O8:O13" si="0">N8*M8</f>
        <v>1300000</v>
      </c>
      <c r="P8" s="13"/>
    </row>
    <row r="9" ht="34.8" spans="4:16">
      <c r="D9" s="5">
        <v>2</v>
      </c>
      <c r="E9" s="5">
        <v>2</v>
      </c>
      <c r="F9" s="5" t="s">
        <v>20</v>
      </c>
      <c r="G9" s="5" t="s">
        <v>21</v>
      </c>
      <c r="H9" s="5" t="s">
        <v>16</v>
      </c>
      <c r="I9" s="11" t="s">
        <v>17</v>
      </c>
      <c r="J9" s="11"/>
      <c r="K9" s="11" t="s">
        <v>18</v>
      </c>
      <c r="L9" s="11" t="s">
        <v>19</v>
      </c>
      <c r="M9" s="11">
        <v>8500</v>
      </c>
      <c r="N9" s="12">
        <v>60</v>
      </c>
      <c r="O9" s="12">
        <f t="shared" si="0"/>
        <v>510000</v>
      </c>
      <c r="P9" s="13"/>
    </row>
    <row r="10" ht="87" spans="4:16">
      <c r="D10" s="5">
        <v>3</v>
      </c>
      <c r="E10" s="6">
        <v>3</v>
      </c>
      <c r="F10" s="6" t="s">
        <v>22</v>
      </c>
      <c r="G10" s="6" t="s">
        <v>23</v>
      </c>
      <c r="H10" s="7" t="s">
        <v>24</v>
      </c>
      <c r="I10" s="14" t="s">
        <v>25</v>
      </c>
      <c r="J10" s="14">
        <v>2007</v>
      </c>
      <c r="K10" s="14" t="s">
        <v>18</v>
      </c>
      <c r="L10" s="14" t="s">
        <v>26</v>
      </c>
      <c r="M10" s="14">
        <v>180</v>
      </c>
      <c r="N10" s="12">
        <v>1300</v>
      </c>
      <c r="O10" s="12">
        <f t="shared" si="0"/>
        <v>234000</v>
      </c>
      <c r="P10" s="13"/>
    </row>
    <row r="11" ht="87" spans="4:16">
      <c r="D11" s="5">
        <v>4</v>
      </c>
      <c r="E11" s="6">
        <v>4</v>
      </c>
      <c r="F11" s="6" t="s">
        <v>27</v>
      </c>
      <c r="G11" s="6" t="s">
        <v>28</v>
      </c>
      <c r="H11" s="7" t="s">
        <v>29</v>
      </c>
      <c r="I11" s="14" t="s">
        <v>25</v>
      </c>
      <c r="J11" s="14">
        <v>2011</v>
      </c>
      <c r="K11" s="14" t="s">
        <v>18</v>
      </c>
      <c r="L11" s="14" t="s">
        <v>26</v>
      </c>
      <c r="M11" s="14">
        <v>700</v>
      </c>
      <c r="N11" s="12">
        <v>210</v>
      </c>
      <c r="O11" s="12">
        <f t="shared" si="0"/>
        <v>147000</v>
      </c>
      <c r="P11" s="13"/>
    </row>
    <row r="12" ht="69.6" spans="4:16">
      <c r="D12" s="5">
        <v>5</v>
      </c>
      <c r="E12" s="6">
        <v>5</v>
      </c>
      <c r="F12" s="6" t="s">
        <v>30</v>
      </c>
      <c r="G12" s="6" t="s">
        <v>31</v>
      </c>
      <c r="H12" s="7" t="s">
        <v>32</v>
      </c>
      <c r="I12" s="14" t="s">
        <v>25</v>
      </c>
      <c r="J12" s="14">
        <v>2031</v>
      </c>
      <c r="K12" s="14" t="s">
        <v>18</v>
      </c>
      <c r="L12" s="14" t="s">
        <v>33</v>
      </c>
      <c r="M12" s="14">
        <v>2</v>
      </c>
      <c r="N12" s="12">
        <v>4200</v>
      </c>
      <c r="O12" s="12">
        <f t="shared" si="0"/>
        <v>8400</v>
      </c>
      <c r="P12" s="13"/>
    </row>
    <row r="13" ht="34.8" spans="4:16">
      <c r="D13" s="5">
        <v>6</v>
      </c>
      <c r="E13" s="5">
        <v>6</v>
      </c>
      <c r="F13" s="5" t="s">
        <v>34</v>
      </c>
      <c r="G13" s="5" t="s">
        <v>35</v>
      </c>
      <c r="H13" s="5" t="s">
        <v>36</v>
      </c>
      <c r="I13" s="11" t="s">
        <v>25</v>
      </c>
      <c r="J13" s="11">
        <v>2031</v>
      </c>
      <c r="K13" s="11" t="s">
        <v>18</v>
      </c>
      <c r="L13" s="11" t="s">
        <v>33</v>
      </c>
      <c r="M13" s="11">
        <v>1</v>
      </c>
      <c r="N13" s="12">
        <v>4200</v>
      </c>
      <c r="O13" s="12">
        <f t="shared" si="0"/>
        <v>4200</v>
      </c>
      <c r="P13" s="13"/>
    </row>
    <row r="14" spans="4:16">
      <c r="D14" s="4" t="s">
        <v>37</v>
      </c>
      <c r="E14" s="4" t="s">
        <v>3</v>
      </c>
      <c r="F14" s="4" t="s">
        <v>4</v>
      </c>
      <c r="G14" s="4" t="s">
        <v>5</v>
      </c>
      <c r="H14" s="4" t="s">
        <v>6</v>
      </c>
      <c r="I14" s="9" t="s">
        <v>7</v>
      </c>
      <c r="J14" s="9" t="s">
        <v>8</v>
      </c>
      <c r="K14" s="9" t="s">
        <v>9</v>
      </c>
      <c r="L14" s="9" t="s">
        <v>10</v>
      </c>
      <c r="M14" s="9" t="s">
        <v>11</v>
      </c>
      <c r="N14" s="10" t="s">
        <v>12</v>
      </c>
      <c r="O14" s="10" t="s">
        <v>13</v>
      </c>
      <c r="P14" s="13"/>
    </row>
    <row r="15" spans="4:16">
      <c r="D15" s="4"/>
      <c r="E15" s="4"/>
      <c r="F15" s="4"/>
      <c r="G15" s="4"/>
      <c r="H15" s="4"/>
      <c r="I15" s="9"/>
      <c r="J15" s="9"/>
      <c r="K15" s="9"/>
      <c r="L15" s="9"/>
      <c r="M15" s="9"/>
      <c r="N15" s="10"/>
      <c r="O15" s="10"/>
      <c r="P15" s="13"/>
    </row>
    <row r="16" ht="69.6" spans="4:16">
      <c r="D16" s="5">
        <v>7</v>
      </c>
      <c r="E16" s="5">
        <v>7</v>
      </c>
      <c r="F16" s="5" t="s">
        <v>38</v>
      </c>
      <c r="G16" s="5" t="s">
        <v>39</v>
      </c>
      <c r="H16" s="5" t="s">
        <v>40</v>
      </c>
      <c r="I16" s="11" t="s">
        <v>25</v>
      </c>
      <c r="J16" s="11">
        <v>2011</v>
      </c>
      <c r="K16" s="11" t="s">
        <v>18</v>
      </c>
      <c r="L16" s="11" t="s">
        <v>33</v>
      </c>
      <c r="M16" s="11">
        <v>1</v>
      </c>
      <c r="N16" s="12">
        <v>12600</v>
      </c>
      <c r="O16" s="12">
        <f t="shared" ref="O16:O21" si="1">N16*M16</f>
        <v>12600</v>
      </c>
      <c r="P16" s="13"/>
    </row>
    <row r="17" ht="34.8" spans="4:16">
      <c r="D17" s="5">
        <v>8</v>
      </c>
      <c r="E17" s="6">
        <v>8</v>
      </c>
      <c r="F17" s="6" t="s">
        <v>41</v>
      </c>
      <c r="G17" s="6" t="s">
        <v>42</v>
      </c>
      <c r="H17" s="7" t="s">
        <v>43</v>
      </c>
      <c r="I17" s="14" t="s">
        <v>17</v>
      </c>
      <c r="J17" s="14"/>
      <c r="K17" s="14" t="s">
        <v>18</v>
      </c>
      <c r="L17" s="14" t="s">
        <v>33</v>
      </c>
      <c r="M17" s="14">
        <v>3</v>
      </c>
      <c r="N17" s="15">
        <v>12600</v>
      </c>
      <c r="O17" s="12">
        <f t="shared" si="1"/>
        <v>37800</v>
      </c>
      <c r="P17" s="13"/>
    </row>
    <row r="18" ht="52.2" spans="4:16">
      <c r="D18" s="5">
        <v>9</v>
      </c>
      <c r="E18" s="5">
        <v>9</v>
      </c>
      <c r="F18" s="5" t="s">
        <v>44</v>
      </c>
      <c r="G18" s="5" t="s">
        <v>45</v>
      </c>
      <c r="H18" s="7" t="s">
        <v>46</v>
      </c>
      <c r="I18" s="14" t="s">
        <v>25</v>
      </c>
      <c r="J18" s="14">
        <v>2050</v>
      </c>
      <c r="K18" s="14" t="s">
        <v>18</v>
      </c>
      <c r="L18" s="14" t="s">
        <v>19</v>
      </c>
      <c r="M18" s="14">
        <v>175</v>
      </c>
      <c r="N18" s="15">
        <v>200</v>
      </c>
      <c r="O18" s="12">
        <f t="shared" si="1"/>
        <v>35000</v>
      </c>
      <c r="P18" s="13"/>
    </row>
    <row r="19" ht="34.8" spans="4:16">
      <c r="D19" s="5">
        <v>10</v>
      </c>
      <c r="E19" s="5">
        <v>10</v>
      </c>
      <c r="F19" s="5" t="s">
        <v>47</v>
      </c>
      <c r="G19" s="5" t="s">
        <v>48</v>
      </c>
      <c r="H19" s="7" t="s">
        <v>49</v>
      </c>
      <c r="I19" s="14" t="s">
        <v>25</v>
      </c>
      <c r="J19" s="14">
        <v>2017</v>
      </c>
      <c r="K19" s="14" t="s">
        <v>18</v>
      </c>
      <c r="L19" s="14" t="s">
        <v>19</v>
      </c>
      <c r="M19" s="14">
        <v>95</v>
      </c>
      <c r="N19" s="15">
        <v>90</v>
      </c>
      <c r="O19" s="12">
        <f t="shared" si="1"/>
        <v>8550</v>
      </c>
      <c r="P19" s="13"/>
    </row>
    <row r="20" ht="34.8" spans="4:16">
      <c r="D20" s="5">
        <v>11</v>
      </c>
      <c r="E20" s="6">
        <v>11</v>
      </c>
      <c r="F20" s="6" t="s">
        <v>50</v>
      </c>
      <c r="G20" s="6" t="s">
        <v>51</v>
      </c>
      <c r="H20" s="7" t="s">
        <v>52</v>
      </c>
      <c r="I20" s="14" t="s">
        <v>25</v>
      </c>
      <c r="J20" s="14">
        <v>2007</v>
      </c>
      <c r="K20" s="14" t="s">
        <v>18</v>
      </c>
      <c r="L20" s="14" t="s">
        <v>33</v>
      </c>
      <c r="M20" s="14">
        <v>1</v>
      </c>
      <c r="N20" s="15">
        <v>87500</v>
      </c>
      <c r="O20" s="12">
        <f t="shared" si="1"/>
        <v>87500</v>
      </c>
      <c r="P20" s="13"/>
    </row>
    <row r="21" ht="34.8" spans="4:16">
      <c r="D21" s="5">
        <v>12</v>
      </c>
      <c r="E21" s="5">
        <v>12</v>
      </c>
      <c r="F21" s="5" t="s">
        <v>53</v>
      </c>
      <c r="G21" s="5" t="s">
        <v>54</v>
      </c>
      <c r="H21" s="7" t="s">
        <v>55</v>
      </c>
      <c r="I21" s="14" t="s">
        <v>25</v>
      </c>
      <c r="J21" s="14">
        <v>2007</v>
      </c>
      <c r="K21" s="14" t="s">
        <v>18</v>
      </c>
      <c r="L21" s="14" t="s">
        <v>19</v>
      </c>
      <c r="M21" s="14">
        <v>178</v>
      </c>
      <c r="N21" s="15">
        <v>70</v>
      </c>
      <c r="O21" s="12">
        <f t="shared" si="1"/>
        <v>12460</v>
      </c>
      <c r="P21" s="13"/>
    </row>
    <row r="22" ht="17.55" customHeight="1" spans="4:16">
      <c r="D22" s="4" t="s">
        <v>2</v>
      </c>
      <c r="E22" s="4" t="s">
        <v>3</v>
      </c>
      <c r="F22" s="4" t="s">
        <v>4</v>
      </c>
      <c r="G22" s="4" t="s">
        <v>5</v>
      </c>
      <c r="H22" s="4" t="s">
        <v>6</v>
      </c>
      <c r="I22" s="9" t="s">
        <v>7</v>
      </c>
      <c r="J22" s="9" t="s">
        <v>8</v>
      </c>
      <c r="K22" s="9" t="s">
        <v>9</v>
      </c>
      <c r="L22" s="9" t="s">
        <v>10</v>
      </c>
      <c r="M22" s="9" t="s">
        <v>11</v>
      </c>
      <c r="N22" s="10" t="s">
        <v>12</v>
      </c>
      <c r="O22" s="10" t="s">
        <v>13</v>
      </c>
      <c r="P22" s="13"/>
    </row>
    <row r="23" ht="17.55" customHeight="1" spans="4:16">
      <c r="D23" s="4"/>
      <c r="E23" s="4"/>
      <c r="F23" s="4"/>
      <c r="G23" s="4"/>
      <c r="H23" s="4"/>
      <c r="I23" s="9"/>
      <c r="J23" s="9"/>
      <c r="K23" s="9"/>
      <c r="L23" s="9"/>
      <c r="M23" s="9"/>
      <c r="N23" s="10"/>
      <c r="O23" s="10"/>
      <c r="P23" s="13"/>
    </row>
    <row r="24" ht="34.8" spans="4:16">
      <c r="D24" s="5">
        <v>13</v>
      </c>
      <c r="E24" s="5">
        <v>13</v>
      </c>
      <c r="F24" s="5" t="s">
        <v>56</v>
      </c>
      <c r="G24" s="5" t="s">
        <v>57</v>
      </c>
      <c r="H24" s="5" t="s">
        <v>58</v>
      </c>
      <c r="I24" s="11" t="s">
        <v>25</v>
      </c>
      <c r="J24" s="11">
        <v>2007</v>
      </c>
      <c r="K24" s="11" t="s">
        <v>18</v>
      </c>
      <c r="L24" s="11" t="s">
        <v>19</v>
      </c>
      <c r="M24" s="11">
        <v>80</v>
      </c>
      <c r="N24" s="12">
        <v>60</v>
      </c>
      <c r="O24" s="12">
        <f t="shared" ref="O24:O29" si="2">N24*M24</f>
        <v>4800</v>
      </c>
      <c r="P24" s="13"/>
    </row>
    <row r="25" ht="34.8" spans="4:16">
      <c r="D25" s="5">
        <v>14</v>
      </c>
      <c r="E25" s="5">
        <v>14</v>
      </c>
      <c r="F25" s="5" t="s">
        <v>59</v>
      </c>
      <c r="G25" s="5" t="s">
        <v>60</v>
      </c>
      <c r="H25" s="5" t="s">
        <v>61</v>
      </c>
      <c r="I25" s="11" t="s">
        <v>25</v>
      </c>
      <c r="J25" s="11">
        <v>2004</v>
      </c>
      <c r="K25" s="11" t="s">
        <v>18</v>
      </c>
      <c r="L25" s="11" t="s">
        <v>19</v>
      </c>
      <c r="M25" s="11">
        <v>100</v>
      </c>
      <c r="N25" s="12">
        <v>40</v>
      </c>
      <c r="O25" s="12">
        <f t="shared" si="2"/>
        <v>4000</v>
      </c>
      <c r="P25" s="13"/>
    </row>
    <row r="26" ht="34.8" spans="4:16">
      <c r="D26" s="5">
        <v>15</v>
      </c>
      <c r="E26" s="5">
        <v>15</v>
      </c>
      <c r="F26" s="5" t="s">
        <v>62</v>
      </c>
      <c r="G26" s="5" t="s">
        <v>63</v>
      </c>
      <c r="H26" s="5" t="s">
        <v>64</v>
      </c>
      <c r="I26" s="11" t="s">
        <v>25</v>
      </c>
      <c r="J26" s="11">
        <v>2017</v>
      </c>
      <c r="K26" s="11" t="s">
        <v>18</v>
      </c>
      <c r="L26" s="11" t="s">
        <v>19</v>
      </c>
      <c r="M26" s="11">
        <v>110</v>
      </c>
      <c r="N26" s="12">
        <v>25</v>
      </c>
      <c r="O26" s="12">
        <f t="shared" si="2"/>
        <v>2750</v>
      </c>
      <c r="P26" s="13"/>
    </row>
    <row r="27" ht="34.8" spans="4:16">
      <c r="D27" s="5">
        <v>16</v>
      </c>
      <c r="E27" s="5">
        <v>16</v>
      </c>
      <c r="F27" s="5" t="s">
        <v>65</v>
      </c>
      <c r="G27" s="5" t="s">
        <v>66</v>
      </c>
      <c r="H27" s="5" t="s">
        <v>67</v>
      </c>
      <c r="I27" s="11" t="s">
        <v>25</v>
      </c>
      <c r="J27" s="11">
        <v>2017</v>
      </c>
      <c r="K27" s="11" t="s">
        <v>18</v>
      </c>
      <c r="L27" s="11" t="s">
        <v>19</v>
      </c>
      <c r="M27" s="11">
        <v>110</v>
      </c>
      <c r="N27" s="12">
        <v>60</v>
      </c>
      <c r="O27" s="12">
        <f t="shared" si="2"/>
        <v>6600</v>
      </c>
      <c r="P27" s="13"/>
    </row>
    <row r="28" ht="34.8" spans="4:16">
      <c r="D28" s="5">
        <v>17</v>
      </c>
      <c r="E28" s="5">
        <v>17</v>
      </c>
      <c r="F28" s="5" t="s">
        <v>68</v>
      </c>
      <c r="G28" s="5" t="s">
        <v>69</v>
      </c>
      <c r="H28" s="5" t="s">
        <v>70</v>
      </c>
      <c r="I28" s="11" t="s">
        <v>25</v>
      </c>
      <c r="J28" s="11">
        <v>2017</v>
      </c>
      <c r="K28" s="11" t="s">
        <v>18</v>
      </c>
      <c r="L28" s="11" t="s">
        <v>19</v>
      </c>
      <c r="M28" s="11">
        <v>100</v>
      </c>
      <c r="N28" s="12">
        <v>40</v>
      </c>
      <c r="O28" s="12">
        <f t="shared" si="2"/>
        <v>4000</v>
      </c>
      <c r="P28" s="13"/>
    </row>
    <row r="29" ht="34.8" spans="4:16">
      <c r="D29" s="5">
        <v>18</v>
      </c>
      <c r="E29" s="5">
        <v>18</v>
      </c>
      <c r="F29" s="5" t="s">
        <v>71</v>
      </c>
      <c r="G29" s="5" t="s">
        <v>72</v>
      </c>
      <c r="H29" s="5" t="s">
        <v>73</v>
      </c>
      <c r="I29" s="11" t="s">
        <v>25</v>
      </c>
      <c r="J29" s="11">
        <v>2017</v>
      </c>
      <c r="K29" s="11" t="s">
        <v>18</v>
      </c>
      <c r="L29" s="11" t="s">
        <v>19</v>
      </c>
      <c r="M29" s="11">
        <v>110</v>
      </c>
      <c r="N29" s="12">
        <v>10</v>
      </c>
      <c r="O29" s="12">
        <f t="shared" si="2"/>
        <v>1100</v>
      </c>
      <c r="P29" s="13"/>
    </row>
    <row r="30" ht="17.55" customHeight="1" spans="4:16">
      <c r="D30" s="4" t="s">
        <v>2</v>
      </c>
      <c r="E30" s="4" t="s">
        <v>3</v>
      </c>
      <c r="F30" s="4" t="s">
        <v>4</v>
      </c>
      <c r="G30" s="4" t="s">
        <v>5</v>
      </c>
      <c r="H30" s="4" t="s">
        <v>6</v>
      </c>
      <c r="I30" s="9" t="s">
        <v>7</v>
      </c>
      <c r="J30" s="9" t="s">
        <v>8</v>
      </c>
      <c r="K30" s="9" t="s">
        <v>9</v>
      </c>
      <c r="L30" s="9" t="s">
        <v>10</v>
      </c>
      <c r="M30" s="9" t="s">
        <v>11</v>
      </c>
      <c r="N30" s="10" t="s">
        <v>12</v>
      </c>
      <c r="O30" s="10" t="s">
        <v>13</v>
      </c>
      <c r="P30" s="13"/>
    </row>
    <row r="31" ht="17.55" customHeight="1" spans="4:16">
      <c r="D31" s="4"/>
      <c r="E31" s="4"/>
      <c r="F31" s="4"/>
      <c r="G31" s="4"/>
      <c r="H31" s="4"/>
      <c r="I31" s="9"/>
      <c r="J31" s="9"/>
      <c r="K31" s="9"/>
      <c r="L31" s="9"/>
      <c r="M31" s="9"/>
      <c r="N31" s="10"/>
      <c r="O31" s="10"/>
      <c r="P31" s="13"/>
    </row>
    <row r="32" ht="34.8" spans="4:16">
      <c r="D32" s="5">
        <v>19</v>
      </c>
      <c r="E32" s="5">
        <v>19</v>
      </c>
      <c r="F32" s="5" t="s">
        <v>74</v>
      </c>
      <c r="G32" s="5" t="s">
        <v>75</v>
      </c>
      <c r="H32" s="5" t="s">
        <v>76</v>
      </c>
      <c r="I32" s="11" t="s">
        <v>25</v>
      </c>
      <c r="J32" s="11">
        <v>2041</v>
      </c>
      <c r="K32" s="11" t="s">
        <v>18</v>
      </c>
      <c r="L32" s="11" t="s">
        <v>19</v>
      </c>
      <c r="M32" s="11">
        <v>100</v>
      </c>
      <c r="N32" s="12">
        <v>60</v>
      </c>
      <c r="O32" s="16">
        <f t="shared" ref="O32:O37" si="3">N32*M32</f>
        <v>6000</v>
      </c>
      <c r="P32" s="13"/>
    </row>
    <row r="33" ht="34.8" spans="4:16">
      <c r="D33" s="5">
        <v>20</v>
      </c>
      <c r="E33" s="5">
        <v>20</v>
      </c>
      <c r="F33" s="5" t="s">
        <v>77</v>
      </c>
      <c r="G33" s="5" t="s">
        <v>78</v>
      </c>
      <c r="H33" s="5" t="s">
        <v>79</v>
      </c>
      <c r="I33" s="11" t="s">
        <v>25</v>
      </c>
      <c r="J33" s="11">
        <v>2049</v>
      </c>
      <c r="K33" s="11" t="s">
        <v>18</v>
      </c>
      <c r="L33" s="11" t="s">
        <v>19</v>
      </c>
      <c r="M33" s="11">
        <v>400</v>
      </c>
      <c r="N33" s="12">
        <v>50</v>
      </c>
      <c r="O33" s="16">
        <f t="shared" si="3"/>
        <v>20000</v>
      </c>
      <c r="P33" s="13"/>
    </row>
    <row r="34" ht="34.8" spans="4:16">
      <c r="D34" s="5">
        <v>21</v>
      </c>
      <c r="E34" s="5">
        <v>21</v>
      </c>
      <c r="F34" s="5" t="s">
        <v>80</v>
      </c>
      <c r="G34" s="5" t="s">
        <v>81</v>
      </c>
      <c r="H34" s="5" t="s">
        <v>82</v>
      </c>
      <c r="I34" s="11" t="s">
        <v>25</v>
      </c>
      <c r="J34" s="11">
        <v>2049</v>
      </c>
      <c r="K34" s="11" t="s">
        <v>18</v>
      </c>
      <c r="L34" s="11" t="s">
        <v>19</v>
      </c>
      <c r="M34" s="11">
        <v>275</v>
      </c>
      <c r="N34" s="12">
        <v>50</v>
      </c>
      <c r="O34" s="16">
        <f t="shared" si="3"/>
        <v>13750</v>
      </c>
      <c r="P34" s="13"/>
    </row>
    <row r="35" ht="34.8" spans="4:16">
      <c r="D35" s="5">
        <v>22</v>
      </c>
      <c r="E35" s="5">
        <v>22</v>
      </c>
      <c r="F35" s="5" t="s">
        <v>83</v>
      </c>
      <c r="G35" s="5" t="s">
        <v>84</v>
      </c>
      <c r="H35" s="5" t="s">
        <v>85</v>
      </c>
      <c r="I35" s="11" t="s">
        <v>25</v>
      </c>
      <c r="J35" s="11">
        <v>2048</v>
      </c>
      <c r="K35" s="11" t="s">
        <v>18</v>
      </c>
      <c r="L35" s="11" t="s">
        <v>19</v>
      </c>
      <c r="M35" s="11">
        <v>365</v>
      </c>
      <c r="N35" s="12">
        <v>35</v>
      </c>
      <c r="O35" s="16">
        <f t="shared" si="3"/>
        <v>12775</v>
      </c>
      <c r="P35" s="13"/>
    </row>
    <row r="36" ht="34.8" spans="4:16">
      <c r="D36" s="5">
        <v>23</v>
      </c>
      <c r="E36" s="5">
        <v>23</v>
      </c>
      <c r="F36" s="5" t="s">
        <v>86</v>
      </c>
      <c r="G36" s="5" t="s">
        <v>87</v>
      </c>
      <c r="H36" s="5" t="s">
        <v>88</v>
      </c>
      <c r="I36" s="11" t="s">
        <v>25</v>
      </c>
      <c r="J36" s="11">
        <v>2048</v>
      </c>
      <c r="K36" s="11" t="s">
        <v>18</v>
      </c>
      <c r="L36" s="11" t="s">
        <v>19</v>
      </c>
      <c r="M36" s="11">
        <v>35</v>
      </c>
      <c r="N36" s="12">
        <v>50</v>
      </c>
      <c r="O36" s="16">
        <f t="shared" si="3"/>
        <v>1750</v>
      </c>
      <c r="P36" s="13"/>
    </row>
    <row r="37" ht="52.2" spans="4:16">
      <c r="D37" s="5">
        <v>24</v>
      </c>
      <c r="E37" s="5">
        <v>24</v>
      </c>
      <c r="F37" s="5" t="s">
        <v>89</v>
      </c>
      <c r="G37" s="5" t="s">
        <v>90</v>
      </c>
      <c r="H37" s="5" t="s">
        <v>91</v>
      </c>
      <c r="I37" s="11" t="s">
        <v>25</v>
      </c>
      <c r="J37" s="11">
        <v>2031</v>
      </c>
      <c r="K37" s="11" t="s">
        <v>18</v>
      </c>
      <c r="L37" s="11" t="s">
        <v>33</v>
      </c>
      <c r="M37" s="11">
        <v>4</v>
      </c>
      <c r="N37" s="12">
        <v>3150</v>
      </c>
      <c r="O37" s="16">
        <f t="shared" si="3"/>
        <v>12600</v>
      </c>
      <c r="P37" s="13"/>
    </row>
    <row r="38" spans="4:16">
      <c r="D38" s="4" t="s">
        <v>2</v>
      </c>
      <c r="E38" s="4" t="s">
        <v>3</v>
      </c>
      <c r="F38" s="4" t="s">
        <v>4</v>
      </c>
      <c r="G38" s="4" t="s">
        <v>5</v>
      </c>
      <c r="H38" s="4" t="s">
        <v>6</v>
      </c>
      <c r="I38" s="9" t="s">
        <v>7</v>
      </c>
      <c r="J38" s="9" t="s">
        <v>8</v>
      </c>
      <c r="K38" s="9" t="s">
        <v>9</v>
      </c>
      <c r="L38" s="9" t="s">
        <v>10</v>
      </c>
      <c r="M38" s="9" t="s">
        <v>11</v>
      </c>
      <c r="N38" s="10" t="s">
        <v>12</v>
      </c>
      <c r="O38" s="10" t="s">
        <v>13</v>
      </c>
      <c r="P38" s="13"/>
    </row>
    <row r="39" spans="4:16">
      <c r="D39" s="4"/>
      <c r="E39" s="4"/>
      <c r="F39" s="4"/>
      <c r="G39" s="4"/>
      <c r="H39" s="4"/>
      <c r="I39" s="9"/>
      <c r="J39" s="9"/>
      <c r="K39" s="9"/>
      <c r="L39" s="9"/>
      <c r="M39" s="9"/>
      <c r="N39" s="10"/>
      <c r="O39" s="10"/>
      <c r="P39" s="13"/>
    </row>
    <row r="40" ht="52.2" spans="4:16">
      <c r="D40" s="5">
        <v>25</v>
      </c>
      <c r="E40" s="5">
        <v>25</v>
      </c>
      <c r="F40" s="5" t="s">
        <v>92</v>
      </c>
      <c r="G40" s="5" t="s">
        <v>93</v>
      </c>
      <c r="H40" s="5" t="s">
        <v>94</v>
      </c>
      <c r="I40" s="11" t="s">
        <v>25</v>
      </c>
      <c r="J40" s="11">
        <v>2036</v>
      </c>
      <c r="K40" s="11" t="s">
        <v>18</v>
      </c>
      <c r="L40" s="11" t="s">
        <v>33</v>
      </c>
      <c r="M40" s="11">
        <v>2</v>
      </c>
      <c r="N40" s="12">
        <v>3360</v>
      </c>
      <c r="O40" s="16">
        <f t="shared" ref="O40:O45" si="4">N40*M40</f>
        <v>6720</v>
      </c>
      <c r="P40" s="13"/>
    </row>
    <row r="41" ht="52.2" spans="4:16">
      <c r="D41" s="5">
        <v>26</v>
      </c>
      <c r="E41" s="5">
        <v>26</v>
      </c>
      <c r="F41" s="5" t="s">
        <v>95</v>
      </c>
      <c r="G41" s="5" t="s">
        <v>96</v>
      </c>
      <c r="H41" s="5" t="s">
        <v>97</v>
      </c>
      <c r="I41" s="11" t="s">
        <v>25</v>
      </c>
      <c r="J41" s="11">
        <v>2036</v>
      </c>
      <c r="K41" s="11" t="s">
        <v>18</v>
      </c>
      <c r="L41" s="11" t="s">
        <v>33</v>
      </c>
      <c r="M41" s="11">
        <v>1</v>
      </c>
      <c r="N41" s="12">
        <v>60000</v>
      </c>
      <c r="O41" s="16">
        <f t="shared" si="4"/>
        <v>60000</v>
      </c>
      <c r="P41" s="13"/>
    </row>
    <row r="42" ht="34.8" spans="4:16">
      <c r="D42" s="5">
        <v>27</v>
      </c>
      <c r="E42" s="5">
        <v>27</v>
      </c>
      <c r="F42" s="5" t="s">
        <v>98</v>
      </c>
      <c r="G42" s="5" t="s">
        <v>99</v>
      </c>
      <c r="H42" s="5" t="s">
        <v>100</v>
      </c>
      <c r="I42" s="11" t="s">
        <v>25</v>
      </c>
      <c r="J42" s="11">
        <v>2007</v>
      </c>
      <c r="K42" s="11" t="s">
        <v>18</v>
      </c>
      <c r="L42" s="11" t="s">
        <v>19</v>
      </c>
      <c r="M42" s="11">
        <v>100</v>
      </c>
      <c r="N42" s="12">
        <v>105</v>
      </c>
      <c r="O42" s="16">
        <f t="shared" si="4"/>
        <v>10500</v>
      </c>
      <c r="P42" s="13"/>
    </row>
    <row r="43" ht="52.2" spans="4:16">
      <c r="D43" s="5">
        <v>28</v>
      </c>
      <c r="E43" s="5">
        <v>28</v>
      </c>
      <c r="F43" s="5" t="s">
        <v>101</v>
      </c>
      <c r="G43" s="5" t="s">
        <v>102</v>
      </c>
      <c r="H43" s="5" t="s">
        <v>103</v>
      </c>
      <c r="I43" s="11" t="s">
        <v>25</v>
      </c>
      <c r="J43" s="11">
        <v>2041</v>
      </c>
      <c r="K43" s="11" t="s">
        <v>18</v>
      </c>
      <c r="L43" s="11" t="s">
        <v>19</v>
      </c>
      <c r="M43" s="11">
        <v>40</v>
      </c>
      <c r="N43" s="12">
        <v>130</v>
      </c>
      <c r="O43" s="16">
        <f t="shared" si="4"/>
        <v>5200</v>
      </c>
      <c r="P43" s="13"/>
    </row>
    <row r="44" ht="34.8" spans="4:16">
      <c r="D44" s="5">
        <v>29</v>
      </c>
      <c r="E44" s="5">
        <v>29</v>
      </c>
      <c r="F44" s="5" t="s">
        <v>104</v>
      </c>
      <c r="G44" s="5" t="s">
        <v>105</v>
      </c>
      <c r="H44" s="5" t="s">
        <v>106</v>
      </c>
      <c r="I44" s="11" t="s">
        <v>25</v>
      </c>
      <c r="J44" s="11">
        <v>2031</v>
      </c>
      <c r="K44" s="11" t="s">
        <v>18</v>
      </c>
      <c r="L44" s="11" t="s">
        <v>33</v>
      </c>
      <c r="M44" s="11">
        <v>1</v>
      </c>
      <c r="N44" s="12">
        <v>4000</v>
      </c>
      <c r="O44" s="16">
        <f t="shared" si="4"/>
        <v>4000</v>
      </c>
      <c r="P44" s="13"/>
    </row>
    <row r="45" ht="52.2" spans="4:16">
      <c r="D45" s="5">
        <v>30</v>
      </c>
      <c r="E45" s="5">
        <v>30</v>
      </c>
      <c r="F45" s="5" t="s">
        <v>107</v>
      </c>
      <c r="G45" s="5" t="s">
        <v>108</v>
      </c>
      <c r="H45" s="5" t="s">
        <v>109</v>
      </c>
      <c r="I45" s="11" t="s">
        <v>25</v>
      </c>
      <c r="J45" s="11">
        <v>2048</v>
      </c>
      <c r="K45" s="11" t="s">
        <v>18</v>
      </c>
      <c r="L45" s="11" t="s">
        <v>19</v>
      </c>
      <c r="M45" s="11">
        <v>160</v>
      </c>
      <c r="N45" s="12">
        <v>45</v>
      </c>
      <c r="O45" s="16">
        <f t="shared" si="4"/>
        <v>7200</v>
      </c>
      <c r="P45" s="13"/>
    </row>
    <row r="46" spans="4:16">
      <c r="D46" s="4" t="s">
        <v>2</v>
      </c>
      <c r="E46" s="4" t="s">
        <v>3</v>
      </c>
      <c r="F46" s="4" t="s">
        <v>4</v>
      </c>
      <c r="G46" s="4" t="s">
        <v>5</v>
      </c>
      <c r="H46" s="4" t="s">
        <v>6</v>
      </c>
      <c r="I46" s="9" t="s">
        <v>7</v>
      </c>
      <c r="J46" s="9" t="s">
        <v>8</v>
      </c>
      <c r="K46" s="9" t="s">
        <v>9</v>
      </c>
      <c r="L46" s="9" t="s">
        <v>10</v>
      </c>
      <c r="M46" s="9" t="s">
        <v>11</v>
      </c>
      <c r="N46" s="10" t="s">
        <v>12</v>
      </c>
      <c r="O46" s="10" t="s">
        <v>13</v>
      </c>
      <c r="P46" s="13"/>
    </row>
    <row r="47" spans="4:16">
      <c r="D47" s="4"/>
      <c r="E47" s="4"/>
      <c r="F47" s="4"/>
      <c r="G47" s="4"/>
      <c r="H47" s="4"/>
      <c r="I47" s="9"/>
      <c r="J47" s="9"/>
      <c r="K47" s="9"/>
      <c r="L47" s="9"/>
      <c r="M47" s="9"/>
      <c r="N47" s="10"/>
      <c r="O47" s="10"/>
      <c r="P47" s="13"/>
    </row>
    <row r="48" ht="34.8" spans="4:16">
      <c r="D48" s="5">
        <v>31</v>
      </c>
      <c r="E48" s="5">
        <v>31</v>
      </c>
      <c r="F48" s="5" t="s">
        <v>110</v>
      </c>
      <c r="G48" s="5" t="s">
        <v>111</v>
      </c>
      <c r="H48" s="5" t="s">
        <v>112</v>
      </c>
      <c r="I48" s="11" t="s">
        <v>25</v>
      </c>
      <c r="J48" s="11">
        <v>2007</v>
      </c>
      <c r="K48" s="11" t="s">
        <v>18</v>
      </c>
      <c r="L48" s="11" t="s">
        <v>19</v>
      </c>
      <c r="M48" s="11">
        <v>70</v>
      </c>
      <c r="N48" s="12">
        <v>100</v>
      </c>
      <c r="O48" s="16">
        <f t="shared" ref="O48:O53" si="5">N48*M48</f>
        <v>7000</v>
      </c>
      <c r="P48" s="13"/>
    </row>
    <row r="49" ht="34.8" spans="4:16">
      <c r="D49" s="5">
        <v>32</v>
      </c>
      <c r="E49" s="5">
        <v>32</v>
      </c>
      <c r="F49" s="5" t="s">
        <v>113</v>
      </c>
      <c r="G49" s="5" t="s">
        <v>114</v>
      </c>
      <c r="H49" s="5" t="s">
        <v>115</v>
      </c>
      <c r="I49" s="11" t="s">
        <v>25</v>
      </c>
      <c r="J49" s="11">
        <v>2007</v>
      </c>
      <c r="K49" s="11" t="s">
        <v>18</v>
      </c>
      <c r="L49" s="11" t="s">
        <v>19</v>
      </c>
      <c r="M49" s="11">
        <v>12</v>
      </c>
      <c r="N49" s="12">
        <v>50</v>
      </c>
      <c r="O49" s="16">
        <f t="shared" si="5"/>
        <v>600</v>
      </c>
      <c r="P49" s="13"/>
    </row>
    <row r="50" ht="34.8" spans="4:16">
      <c r="D50" s="5">
        <v>33</v>
      </c>
      <c r="E50" s="5">
        <v>33</v>
      </c>
      <c r="F50" s="5" t="s">
        <v>116</v>
      </c>
      <c r="G50" s="5" t="s">
        <v>117</v>
      </c>
      <c r="H50" s="5" t="s">
        <v>118</v>
      </c>
      <c r="I50" s="11" t="s">
        <v>25</v>
      </c>
      <c r="J50" s="11">
        <v>2049</v>
      </c>
      <c r="K50" s="11" t="s">
        <v>18</v>
      </c>
      <c r="L50" s="11" t="s">
        <v>19</v>
      </c>
      <c r="M50" s="11">
        <v>140</v>
      </c>
      <c r="N50" s="12">
        <v>45</v>
      </c>
      <c r="O50" s="16">
        <f t="shared" si="5"/>
        <v>6300</v>
      </c>
      <c r="P50" s="13"/>
    </row>
    <row r="51" ht="34.8" spans="4:16">
      <c r="D51" s="5">
        <v>34</v>
      </c>
      <c r="E51" s="5">
        <v>34</v>
      </c>
      <c r="F51" s="5" t="s">
        <v>119</v>
      </c>
      <c r="G51" s="5" t="s">
        <v>120</v>
      </c>
      <c r="H51" s="5" t="s">
        <v>121</v>
      </c>
      <c r="I51" s="11" t="s">
        <v>25</v>
      </c>
      <c r="J51" s="11">
        <v>2049</v>
      </c>
      <c r="K51" s="11" t="s">
        <v>18</v>
      </c>
      <c r="L51" s="11" t="s">
        <v>19</v>
      </c>
      <c r="M51" s="11">
        <v>75</v>
      </c>
      <c r="N51" s="12">
        <v>45</v>
      </c>
      <c r="O51" s="16">
        <f t="shared" si="5"/>
        <v>3375</v>
      </c>
      <c r="P51" s="13"/>
    </row>
    <row r="52" ht="52.2" spans="4:16">
      <c r="D52" s="5">
        <v>35</v>
      </c>
      <c r="E52" s="5">
        <v>35</v>
      </c>
      <c r="F52" s="5" t="s">
        <v>122</v>
      </c>
      <c r="G52" s="5" t="s">
        <v>123</v>
      </c>
      <c r="H52" s="5" t="s">
        <v>124</v>
      </c>
      <c r="I52" s="11" t="s">
        <v>25</v>
      </c>
      <c r="J52" s="11">
        <v>2048</v>
      </c>
      <c r="K52" s="11" t="s">
        <v>18</v>
      </c>
      <c r="L52" s="11" t="s">
        <v>19</v>
      </c>
      <c r="M52" s="11">
        <v>75</v>
      </c>
      <c r="N52" s="12">
        <v>35</v>
      </c>
      <c r="O52" s="16">
        <f t="shared" si="5"/>
        <v>2625</v>
      </c>
      <c r="P52" s="13"/>
    </row>
    <row r="53" ht="34.8" spans="4:16">
      <c r="D53" s="5">
        <v>36</v>
      </c>
      <c r="E53" s="5">
        <v>36</v>
      </c>
      <c r="F53" s="5" t="s">
        <v>125</v>
      </c>
      <c r="G53" s="5" t="s">
        <v>126</v>
      </c>
      <c r="H53" s="5" t="s">
        <v>127</v>
      </c>
      <c r="I53" s="11" t="s">
        <v>25</v>
      </c>
      <c r="J53" s="11">
        <v>2048</v>
      </c>
      <c r="K53" s="11" t="s">
        <v>18</v>
      </c>
      <c r="L53" s="11" t="s">
        <v>19</v>
      </c>
      <c r="M53" s="11">
        <v>17</v>
      </c>
      <c r="N53" s="12">
        <v>45</v>
      </c>
      <c r="O53" s="16">
        <f t="shared" si="5"/>
        <v>765</v>
      </c>
      <c r="P53" s="13"/>
    </row>
    <row r="54" spans="4:16">
      <c r="D54" s="4" t="s">
        <v>2</v>
      </c>
      <c r="E54" s="4" t="s">
        <v>3</v>
      </c>
      <c r="F54" s="4" t="s">
        <v>4</v>
      </c>
      <c r="G54" s="4" t="s">
        <v>5</v>
      </c>
      <c r="H54" s="4" t="s">
        <v>6</v>
      </c>
      <c r="I54" s="9" t="s">
        <v>7</v>
      </c>
      <c r="J54" s="9" t="s">
        <v>8</v>
      </c>
      <c r="K54" s="9" t="s">
        <v>9</v>
      </c>
      <c r="L54" s="9" t="s">
        <v>10</v>
      </c>
      <c r="M54" s="9" t="s">
        <v>11</v>
      </c>
      <c r="N54" s="10" t="s">
        <v>12</v>
      </c>
      <c r="O54" s="10" t="s">
        <v>13</v>
      </c>
      <c r="P54" s="13"/>
    </row>
    <row r="55" spans="4:16">
      <c r="D55" s="4"/>
      <c r="E55" s="4"/>
      <c r="F55" s="4"/>
      <c r="G55" s="4"/>
      <c r="H55" s="4"/>
      <c r="I55" s="9"/>
      <c r="J55" s="9"/>
      <c r="K55" s="9"/>
      <c r="L55" s="9"/>
      <c r="M55" s="9"/>
      <c r="N55" s="10"/>
      <c r="O55" s="10"/>
      <c r="P55" s="13"/>
    </row>
    <row r="56" ht="34.8" spans="4:16">
      <c r="D56" s="5">
        <v>37</v>
      </c>
      <c r="E56" s="5">
        <v>37</v>
      </c>
      <c r="F56" s="5" t="s">
        <v>128</v>
      </c>
      <c r="G56" s="5" t="s">
        <v>129</v>
      </c>
      <c r="H56" s="5" t="s">
        <v>130</v>
      </c>
      <c r="I56" s="11" t="s">
        <v>25</v>
      </c>
      <c r="J56" s="11">
        <v>2048</v>
      </c>
      <c r="K56" s="11" t="s">
        <v>18</v>
      </c>
      <c r="L56" s="11" t="s">
        <v>19</v>
      </c>
      <c r="M56" s="11">
        <v>140</v>
      </c>
      <c r="N56" s="12">
        <v>45</v>
      </c>
      <c r="O56" s="16">
        <f t="shared" ref="O56:O61" si="6">N56*M56</f>
        <v>6300</v>
      </c>
      <c r="P56" s="13"/>
    </row>
    <row r="57" ht="34.8" spans="4:16">
      <c r="D57" s="5">
        <v>38</v>
      </c>
      <c r="E57" s="5">
        <v>38</v>
      </c>
      <c r="F57" s="5" t="s">
        <v>131</v>
      </c>
      <c r="G57" s="5" t="s">
        <v>132</v>
      </c>
      <c r="H57" s="5" t="s">
        <v>133</v>
      </c>
      <c r="I57" s="11" t="s">
        <v>25</v>
      </c>
      <c r="J57" s="11">
        <v>2048</v>
      </c>
      <c r="K57" s="11" t="s">
        <v>18</v>
      </c>
      <c r="L57" s="11" t="s">
        <v>19</v>
      </c>
      <c r="M57" s="11">
        <v>225</v>
      </c>
      <c r="N57" s="12">
        <v>45</v>
      </c>
      <c r="O57" s="16">
        <f t="shared" si="6"/>
        <v>10125</v>
      </c>
      <c r="P57" s="13"/>
    </row>
    <row r="58" ht="34.8" spans="4:16">
      <c r="D58" s="5">
        <v>39</v>
      </c>
      <c r="E58" s="5">
        <v>39</v>
      </c>
      <c r="F58" s="5" t="s">
        <v>134</v>
      </c>
      <c r="G58" s="5" t="s">
        <v>135</v>
      </c>
      <c r="H58" s="5" t="s">
        <v>136</v>
      </c>
      <c r="I58" s="11" t="s">
        <v>25</v>
      </c>
      <c r="J58" s="11">
        <v>2041</v>
      </c>
      <c r="K58" s="11" t="s">
        <v>18</v>
      </c>
      <c r="L58" s="11" t="s">
        <v>26</v>
      </c>
      <c r="M58" s="11">
        <v>20</v>
      </c>
      <c r="N58" s="12">
        <v>250</v>
      </c>
      <c r="O58" s="16">
        <f t="shared" si="6"/>
        <v>5000</v>
      </c>
      <c r="P58" s="13"/>
    </row>
    <row r="59" ht="52.2" spans="4:16">
      <c r="D59" s="5">
        <v>40</v>
      </c>
      <c r="E59" s="5">
        <v>40</v>
      </c>
      <c r="F59" s="5" t="s">
        <v>137</v>
      </c>
      <c r="G59" s="5" t="s">
        <v>138</v>
      </c>
      <c r="H59" s="5" t="s">
        <v>139</v>
      </c>
      <c r="I59" s="11" t="s">
        <v>25</v>
      </c>
      <c r="J59" s="11">
        <v>2041</v>
      </c>
      <c r="K59" s="11" t="s">
        <v>18</v>
      </c>
      <c r="L59" s="11" t="s">
        <v>19</v>
      </c>
      <c r="M59" s="11">
        <v>16</v>
      </c>
      <c r="N59" s="12">
        <v>70</v>
      </c>
      <c r="O59" s="16">
        <f t="shared" si="6"/>
        <v>1120</v>
      </c>
      <c r="P59" s="13"/>
    </row>
    <row r="60" ht="52.2" spans="4:16">
      <c r="D60" s="5">
        <v>41</v>
      </c>
      <c r="E60" s="5">
        <v>41</v>
      </c>
      <c r="F60" s="5" t="s">
        <v>140</v>
      </c>
      <c r="G60" s="5" t="s">
        <v>141</v>
      </c>
      <c r="H60" s="5" t="s">
        <v>142</v>
      </c>
      <c r="I60" s="11" t="s">
        <v>25</v>
      </c>
      <c r="J60" s="11">
        <v>2041</v>
      </c>
      <c r="K60" s="11" t="s">
        <v>18</v>
      </c>
      <c r="L60" s="11" t="s">
        <v>19</v>
      </c>
      <c r="M60" s="11">
        <v>3</v>
      </c>
      <c r="N60" s="12">
        <v>70</v>
      </c>
      <c r="O60" s="16">
        <f t="shared" si="6"/>
        <v>210</v>
      </c>
      <c r="P60" s="13"/>
    </row>
    <row r="61" ht="52.2" spans="4:16">
      <c r="D61" s="5">
        <v>42</v>
      </c>
      <c r="E61" s="5">
        <v>42</v>
      </c>
      <c r="F61" s="5" t="s">
        <v>143</v>
      </c>
      <c r="G61" s="5" t="s">
        <v>144</v>
      </c>
      <c r="H61" s="5" t="s">
        <v>145</v>
      </c>
      <c r="I61" s="11" t="s">
        <v>25</v>
      </c>
      <c r="J61" s="11">
        <v>2041</v>
      </c>
      <c r="K61" s="11" t="s">
        <v>18</v>
      </c>
      <c r="L61" s="11" t="s">
        <v>19</v>
      </c>
      <c r="M61" s="11">
        <v>23</v>
      </c>
      <c r="N61" s="12">
        <v>70</v>
      </c>
      <c r="O61" s="16">
        <f t="shared" si="6"/>
        <v>1610</v>
      </c>
      <c r="P61" s="13"/>
    </row>
    <row r="62" spans="4:16">
      <c r="D62" s="4" t="s">
        <v>37</v>
      </c>
      <c r="E62" s="4" t="s">
        <v>3</v>
      </c>
      <c r="F62" s="4" t="s">
        <v>4</v>
      </c>
      <c r="G62" s="4" t="s">
        <v>5</v>
      </c>
      <c r="H62" s="4" t="s">
        <v>6</v>
      </c>
      <c r="I62" s="9" t="s">
        <v>7</v>
      </c>
      <c r="J62" s="9" t="s">
        <v>8</v>
      </c>
      <c r="K62" s="9" t="s">
        <v>9</v>
      </c>
      <c r="L62" s="9" t="s">
        <v>10</v>
      </c>
      <c r="M62" s="9" t="s">
        <v>11</v>
      </c>
      <c r="N62" s="10" t="s">
        <v>12</v>
      </c>
      <c r="O62" s="10" t="s">
        <v>13</v>
      </c>
      <c r="P62" s="13"/>
    </row>
    <row r="63" spans="4:16">
      <c r="D63" s="4"/>
      <c r="E63" s="4"/>
      <c r="F63" s="4"/>
      <c r="G63" s="4"/>
      <c r="H63" s="4"/>
      <c r="I63" s="9"/>
      <c r="J63" s="9"/>
      <c r="K63" s="9"/>
      <c r="L63" s="9"/>
      <c r="M63" s="9"/>
      <c r="N63" s="10"/>
      <c r="O63" s="10"/>
      <c r="P63" s="13"/>
    </row>
    <row r="64" ht="34.8" spans="4:16">
      <c r="D64" s="5">
        <v>43</v>
      </c>
      <c r="E64" s="5">
        <v>43</v>
      </c>
      <c r="F64" s="5" t="s">
        <v>146</v>
      </c>
      <c r="G64" s="5" t="s">
        <v>147</v>
      </c>
      <c r="H64" s="5" t="s">
        <v>148</v>
      </c>
      <c r="I64" s="11" t="s">
        <v>25</v>
      </c>
      <c r="J64" s="11">
        <v>2004</v>
      </c>
      <c r="K64" s="11" t="s">
        <v>18</v>
      </c>
      <c r="L64" s="11" t="s">
        <v>19</v>
      </c>
      <c r="M64" s="11">
        <v>20</v>
      </c>
      <c r="N64" s="12">
        <v>35</v>
      </c>
      <c r="O64" s="16">
        <f t="shared" ref="O64:O69" si="7">N64*M64</f>
        <v>700</v>
      </c>
      <c r="P64" s="13"/>
    </row>
    <row r="65" ht="34.8" spans="4:16">
      <c r="D65" s="5">
        <v>44</v>
      </c>
      <c r="E65" s="5">
        <v>44</v>
      </c>
      <c r="F65" s="5" t="s">
        <v>149</v>
      </c>
      <c r="G65" s="5" t="s">
        <v>150</v>
      </c>
      <c r="H65" s="5" t="s">
        <v>151</v>
      </c>
      <c r="I65" s="11" t="s">
        <v>25</v>
      </c>
      <c r="J65" s="11">
        <v>2017</v>
      </c>
      <c r="K65" s="11" t="s">
        <v>18</v>
      </c>
      <c r="L65" s="11" t="s">
        <v>19</v>
      </c>
      <c r="M65" s="11">
        <v>20</v>
      </c>
      <c r="N65" s="12">
        <v>25</v>
      </c>
      <c r="O65" s="16">
        <f t="shared" si="7"/>
        <v>500</v>
      </c>
      <c r="P65" s="13"/>
    </row>
    <row r="66" ht="34.8" spans="4:16">
      <c r="D66" s="5">
        <v>45</v>
      </c>
      <c r="E66" s="5">
        <v>45</v>
      </c>
      <c r="F66" s="5" t="s">
        <v>152</v>
      </c>
      <c r="G66" s="5" t="s">
        <v>153</v>
      </c>
      <c r="H66" s="5" t="s">
        <v>154</v>
      </c>
      <c r="I66" s="11" t="s">
        <v>25</v>
      </c>
      <c r="J66" s="11">
        <v>2017</v>
      </c>
      <c r="K66" s="11" t="s">
        <v>18</v>
      </c>
      <c r="L66" s="11" t="s">
        <v>19</v>
      </c>
      <c r="M66" s="11">
        <v>20</v>
      </c>
      <c r="N66" s="12">
        <v>50</v>
      </c>
      <c r="O66" s="16">
        <f t="shared" si="7"/>
        <v>1000</v>
      </c>
      <c r="P66" s="13"/>
    </row>
    <row r="67" ht="34.8" spans="4:16">
      <c r="D67" s="5">
        <v>46</v>
      </c>
      <c r="E67" s="5">
        <v>46</v>
      </c>
      <c r="F67" s="5" t="s">
        <v>155</v>
      </c>
      <c r="G67" s="5" t="s">
        <v>156</v>
      </c>
      <c r="H67" s="5" t="s">
        <v>70</v>
      </c>
      <c r="I67" s="11" t="s">
        <v>25</v>
      </c>
      <c r="J67" s="11">
        <v>2017</v>
      </c>
      <c r="K67" s="11" t="s">
        <v>18</v>
      </c>
      <c r="L67" s="11" t="s">
        <v>19</v>
      </c>
      <c r="M67" s="11">
        <v>20</v>
      </c>
      <c r="N67" s="12">
        <v>40</v>
      </c>
      <c r="O67" s="16">
        <f t="shared" si="7"/>
        <v>800</v>
      </c>
      <c r="P67" s="13"/>
    </row>
    <row r="68" ht="34.8" spans="4:16">
      <c r="D68" s="5">
        <v>47</v>
      </c>
      <c r="E68" s="5">
        <v>47</v>
      </c>
      <c r="F68" s="5" t="s">
        <v>157</v>
      </c>
      <c r="G68" s="5" t="s">
        <v>158</v>
      </c>
      <c r="H68" s="5" t="s">
        <v>73</v>
      </c>
      <c r="I68" s="11" t="s">
        <v>25</v>
      </c>
      <c r="J68" s="11">
        <v>2017</v>
      </c>
      <c r="K68" s="11" t="s">
        <v>18</v>
      </c>
      <c r="L68" s="11" t="s">
        <v>19</v>
      </c>
      <c r="M68" s="11">
        <v>20</v>
      </c>
      <c r="N68" s="12">
        <v>7</v>
      </c>
      <c r="O68" s="16">
        <f t="shared" si="7"/>
        <v>140</v>
      </c>
      <c r="P68" s="13"/>
    </row>
    <row r="69" ht="34.8" spans="4:16">
      <c r="D69" s="5">
        <v>48</v>
      </c>
      <c r="E69" s="5">
        <v>48</v>
      </c>
      <c r="F69" s="5" t="s">
        <v>159</v>
      </c>
      <c r="G69" s="5" t="s">
        <v>160</v>
      </c>
      <c r="H69" s="5" t="s">
        <v>161</v>
      </c>
      <c r="I69" s="11" t="s">
        <v>25</v>
      </c>
      <c r="J69" s="11">
        <v>2017</v>
      </c>
      <c r="K69" s="11" t="s">
        <v>18</v>
      </c>
      <c r="L69" s="11" t="s">
        <v>19</v>
      </c>
      <c r="M69" s="11">
        <v>20</v>
      </c>
      <c r="N69" s="12">
        <v>105</v>
      </c>
      <c r="O69" s="16">
        <f t="shared" si="7"/>
        <v>2100</v>
      </c>
      <c r="P69" s="13"/>
    </row>
    <row r="70" spans="4:16">
      <c r="D70" s="4" t="s">
        <v>2</v>
      </c>
      <c r="E70" s="4" t="s">
        <v>3</v>
      </c>
      <c r="F70" s="4" t="s">
        <v>4</v>
      </c>
      <c r="G70" s="4" t="s">
        <v>5</v>
      </c>
      <c r="H70" s="4" t="s">
        <v>6</v>
      </c>
      <c r="I70" s="9" t="s">
        <v>7</v>
      </c>
      <c r="J70" s="9" t="s">
        <v>8</v>
      </c>
      <c r="K70" s="9" t="s">
        <v>9</v>
      </c>
      <c r="L70" s="9" t="s">
        <v>10</v>
      </c>
      <c r="M70" s="9" t="s">
        <v>11</v>
      </c>
      <c r="N70" s="10" t="s">
        <v>12</v>
      </c>
      <c r="O70" s="10" t="s">
        <v>13</v>
      </c>
      <c r="P70" s="13"/>
    </row>
    <row r="71" spans="4:16">
      <c r="D71" s="4"/>
      <c r="E71" s="4"/>
      <c r="F71" s="4"/>
      <c r="G71" s="4"/>
      <c r="H71" s="4"/>
      <c r="I71" s="9"/>
      <c r="J71" s="9"/>
      <c r="K71" s="9"/>
      <c r="L71" s="9"/>
      <c r="M71" s="9"/>
      <c r="N71" s="10"/>
      <c r="O71" s="10"/>
      <c r="P71" s="13"/>
    </row>
    <row r="72" ht="34.8" spans="4:16">
      <c r="D72" s="5">
        <v>49</v>
      </c>
      <c r="E72" s="5">
        <v>49</v>
      </c>
      <c r="F72" s="5" t="s">
        <v>162</v>
      </c>
      <c r="G72" s="5" t="s">
        <v>163</v>
      </c>
      <c r="H72" s="5" t="s">
        <v>164</v>
      </c>
      <c r="I72" s="11" t="s">
        <v>25</v>
      </c>
      <c r="J72" s="11">
        <v>2041</v>
      </c>
      <c r="K72" s="11" t="s">
        <v>18</v>
      </c>
      <c r="L72" s="11" t="s">
        <v>19</v>
      </c>
      <c r="M72" s="11">
        <v>20</v>
      </c>
      <c r="N72" s="12">
        <v>70</v>
      </c>
      <c r="O72" s="16">
        <f t="shared" ref="O72:O77" si="8">N72*M72</f>
        <v>1400</v>
      </c>
      <c r="P72" s="13"/>
    </row>
    <row r="73" ht="34.8" spans="4:16">
      <c r="D73" s="5">
        <v>50</v>
      </c>
      <c r="E73" s="5">
        <v>50</v>
      </c>
      <c r="F73" s="5" t="s">
        <v>165</v>
      </c>
      <c r="G73" s="5" t="s">
        <v>166</v>
      </c>
      <c r="H73" s="5" t="s">
        <v>167</v>
      </c>
      <c r="I73" s="11" t="s">
        <v>25</v>
      </c>
      <c r="J73" s="11">
        <v>2031</v>
      </c>
      <c r="K73" s="11" t="s">
        <v>18</v>
      </c>
      <c r="L73" s="11" t="s">
        <v>33</v>
      </c>
      <c r="M73" s="11">
        <v>1</v>
      </c>
      <c r="N73" s="12">
        <v>3150</v>
      </c>
      <c r="O73" s="16">
        <f t="shared" si="8"/>
        <v>3150</v>
      </c>
      <c r="P73" s="13"/>
    </row>
    <row r="74" ht="52.2" spans="4:16">
      <c r="D74" s="5">
        <v>51</v>
      </c>
      <c r="E74" s="5">
        <v>51</v>
      </c>
      <c r="F74" s="5" t="s">
        <v>168</v>
      </c>
      <c r="G74" s="5" t="s">
        <v>169</v>
      </c>
      <c r="H74" s="5" t="s">
        <v>170</v>
      </c>
      <c r="I74" s="11" t="s">
        <v>25</v>
      </c>
      <c r="J74" s="11">
        <v>2031</v>
      </c>
      <c r="K74" s="11" t="s">
        <v>18</v>
      </c>
      <c r="L74" s="11" t="s">
        <v>33</v>
      </c>
      <c r="M74" s="11">
        <v>1</v>
      </c>
      <c r="N74" s="12">
        <v>2380</v>
      </c>
      <c r="O74" s="16">
        <f t="shared" si="8"/>
        <v>2380</v>
      </c>
      <c r="P74" s="13"/>
    </row>
    <row r="75" ht="52.2" spans="4:16">
      <c r="D75" s="5">
        <v>52</v>
      </c>
      <c r="E75" s="5">
        <v>52</v>
      </c>
      <c r="F75" s="5" t="s">
        <v>171</v>
      </c>
      <c r="G75" s="5" t="s">
        <v>172</v>
      </c>
      <c r="H75" s="5" t="s">
        <v>173</v>
      </c>
      <c r="I75" s="11" t="s">
        <v>25</v>
      </c>
      <c r="J75" s="11">
        <v>2036</v>
      </c>
      <c r="K75" s="11" t="s">
        <v>18</v>
      </c>
      <c r="L75" s="11" t="s">
        <v>33</v>
      </c>
      <c r="M75" s="11">
        <v>2</v>
      </c>
      <c r="N75" s="12">
        <v>1890</v>
      </c>
      <c r="O75" s="16">
        <f t="shared" si="8"/>
        <v>3780</v>
      </c>
      <c r="P75" s="13"/>
    </row>
    <row r="76" ht="34.8" spans="4:16">
      <c r="D76" s="5">
        <v>53</v>
      </c>
      <c r="E76" s="5">
        <v>53</v>
      </c>
      <c r="F76" s="5" t="s">
        <v>174</v>
      </c>
      <c r="G76" s="5" t="s">
        <v>175</v>
      </c>
      <c r="H76" s="5" t="s">
        <v>176</v>
      </c>
      <c r="I76" s="11" t="s">
        <v>25</v>
      </c>
      <c r="J76" s="11">
        <v>2007</v>
      </c>
      <c r="K76" s="11" t="s">
        <v>18</v>
      </c>
      <c r="L76" s="11" t="s">
        <v>19</v>
      </c>
      <c r="M76" s="11">
        <v>300</v>
      </c>
      <c r="N76" s="12">
        <v>105</v>
      </c>
      <c r="O76" s="16">
        <f t="shared" si="8"/>
        <v>31500</v>
      </c>
      <c r="P76" s="13"/>
    </row>
    <row r="77" ht="34.8" spans="4:16">
      <c r="D77" s="5">
        <v>54</v>
      </c>
      <c r="E77" s="5">
        <v>54</v>
      </c>
      <c r="F77" s="5" t="s">
        <v>177</v>
      </c>
      <c r="G77" s="5" t="s">
        <v>178</v>
      </c>
      <c r="H77" s="5" t="s">
        <v>179</v>
      </c>
      <c r="I77" s="11" t="s">
        <v>25</v>
      </c>
      <c r="J77" s="11">
        <v>2007</v>
      </c>
      <c r="K77" s="11" t="s">
        <v>18</v>
      </c>
      <c r="L77" s="11" t="s">
        <v>19</v>
      </c>
      <c r="M77" s="11">
        <v>195</v>
      </c>
      <c r="N77" s="12">
        <v>55</v>
      </c>
      <c r="O77" s="16">
        <f t="shared" si="8"/>
        <v>10725</v>
      </c>
      <c r="P77" s="13"/>
    </row>
    <row r="78" spans="4:16">
      <c r="D78" s="4" t="s">
        <v>2</v>
      </c>
      <c r="E78" s="4" t="s">
        <v>3</v>
      </c>
      <c r="F78" s="4" t="s">
        <v>4</v>
      </c>
      <c r="G78" s="4" t="s">
        <v>5</v>
      </c>
      <c r="H78" s="4" t="s">
        <v>6</v>
      </c>
      <c r="I78" s="9" t="s">
        <v>7</v>
      </c>
      <c r="J78" s="9" t="s">
        <v>8</v>
      </c>
      <c r="K78" s="9" t="s">
        <v>9</v>
      </c>
      <c r="L78" s="9" t="s">
        <v>10</v>
      </c>
      <c r="M78" s="9" t="s">
        <v>11</v>
      </c>
      <c r="N78" s="10" t="s">
        <v>12</v>
      </c>
      <c r="O78" s="10" t="s">
        <v>13</v>
      </c>
      <c r="P78" s="13"/>
    </row>
    <row r="79" spans="4:16">
      <c r="D79" s="4"/>
      <c r="E79" s="4"/>
      <c r="F79" s="4"/>
      <c r="G79" s="4"/>
      <c r="H79" s="4"/>
      <c r="I79" s="9"/>
      <c r="J79" s="9"/>
      <c r="K79" s="9"/>
      <c r="L79" s="9"/>
      <c r="M79" s="9"/>
      <c r="N79" s="10"/>
      <c r="O79" s="10"/>
      <c r="P79" s="13"/>
    </row>
    <row r="80" ht="34.8" spans="4:16">
      <c r="D80" s="5">
        <v>55</v>
      </c>
      <c r="E80" s="5">
        <v>55</v>
      </c>
      <c r="F80" s="5" t="s">
        <v>180</v>
      </c>
      <c r="G80" s="5" t="s">
        <v>181</v>
      </c>
      <c r="H80" s="5" t="s">
        <v>115</v>
      </c>
      <c r="I80" s="11" t="s">
        <v>25</v>
      </c>
      <c r="J80" s="11">
        <v>2007</v>
      </c>
      <c r="K80" s="11" t="s">
        <v>18</v>
      </c>
      <c r="L80" s="11" t="s">
        <v>19</v>
      </c>
      <c r="M80" s="11">
        <v>65</v>
      </c>
      <c r="N80" s="12">
        <v>60</v>
      </c>
      <c r="O80" s="16">
        <f t="shared" ref="O80:O85" si="9">N80*M80</f>
        <v>3900</v>
      </c>
      <c r="P80" s="13"/>
    </row>
    <row r="81" ht="34.8" spans="4:16">
      <c r="D81" s="5">
        <v>56</v>
      </c>
      <c r="E81" s="5">
        <v>56</v>
      </c>
      <c r="F81" s="5" t="s">
        <v>182</v>
      </c>
      <c r="G81" s="5" t="s">
        <v>183</v>
      </c>
      <c r="H81" s="5" t="s">
        <v>184</v>
      </c>
      <c r="I81" s="11" t="s">
        <v>25</v>
      </c>
      <c r="J81" s="11">
        <v>2007</v>
      </c>
      <c r="K81" s="11" t="s">
        <v>18</v>
      </c>
      <c r="L81" s="11" t="s">
        <v>19</v>
      </c>
      <c r="M81" s="11">
        <v>30</v>
      </c>
      <c r="N81" s="12">
        <v>60</v>
      </c>
      <c r="O81" s="16">
        <f t="shared" si="9"/>
        <v>1800</v>
      </c>
      <c r="P81" s="13"/>
    </row>
    <row r="82" ht="34.8" spans="4:16">
      <c r="D82" s="5">
        <v>57</v>
      </c>
      <c r="E82" s="5">
        <v>57</v>
      </c>
      <c r="F82" s="5" t="s">
        <v>185</v>
      </c>
      <c r="G82" s="5" t="s">
        <v>186</v>
      </c>
      <c r="H82" s="5" t="s">
        <v>187</v>
      </c>
      <c r="I82" s="11" t="s">
        <v>25</v>
      </c>
      <c r="J82" s="11">
        <v>2049</v>
      </c>
      <c r="K82" s="11" t="s">
        <v>18</v>
      </c>
      <c r="L82" s="11" t="s">
        <v>19</v>
      </c>
      <c r="M82" s="11">
        <v>615</v>
      </c>
      <c r="N82" s="12">
        <v>45</v>
      </c>
      <c r="O82" s="16">
        <f t="shared" si="9"/>
        <v>27675</v>
      </c>
      <c r="P82" s="13"/>
    </row>
    <row r="83" ht="34.8" spans="4:16">
      <c r="D83" s="5">
        <v>58</v>
      </c>
      <c r="E83" s="5">
        <v>58</v>
      </c>
      <c r="F83" s="5" t="s">
        <v>188</v>
      </c>
      <c r="G83" s="5" t="s">
        <v>189</v>
      </c>
      <c r="H83" s="5" t="s">
        <v>190</v>
      </c>
      <c r="I83" s="11" t="s">
        <v>25</v>
      </c>
      <c r="J83" s="11">
        <v>2049</v>
      </c>
      <c r="K83" s="11" t="s">
        <v>18</v>
      </c>
      <c r="L83" s="11" t="s">
        <v>19</v>
      </c>
      <c r="M83" s="11">
        <v>950</v>
      </c>
      <c r="N83" s="12">
        <v>45</v>
      </c>
      <c r="O83" s="16">
        <f t="shared" si="9"/>
        <v>42750</v>
      </c>
      <c r="P83" s="13"/>
    </row>
    <row r="84" ht="52.2" spans="4:16">
      <c r="D84" s="5">
        <v>59</v>
      </c>
      <c r="E84" s="5">
        <v>59</v>
      </c>
      <c r="F84" s="5" t="s">
        <v>191</v>
      </c>
      <c r="G84" s="5" t="s">
        <v>192</v>
      </c>
      <c r="H84" s="5" t="s">
        <v>124</v>
      </c>
      <c r="I84" s="11" t="s">
        <v>25</v>
      </c>
      <c r="J84" s="11">
        <v>2048</v>
      </c>
      <c r="K84" s="11" t="s">
        <v>18</v>
      </c>
      <c r="L84" s="11" t="s">
        <v>19</v>
      </c>
      <c r="M84" s="11">
        <v>825</v>
      </c>
      <c r="N84" s="12">
        <v>40</v>
      </c>
      <c r="O84" s="16">
        <f t="shared" si="9"/>
        <v>33000</v>
      </c>
      <c r="P84" s="13"/>
    </row>
    <row r="85" ht="34.8" spans="4:16">
      <c r="D85" s="5">
        <v>60</v>
      </c>
      <c r="E85" s="5">
        <v>60</v>
      </c>
      <c r="F85" s="5" t="s">
        <v>193</v>
      </c>
      <c r="G85" s="5" t="s">
        <v>194</v>
      </c>
      <c r="H85" s="5" t="s">
        <v>127</v>
      </c>
      <c r="I85" s="11" t="s">
        <v>25</v>
      </c>
      <c r="J85" s="11">
        <v>2048</v>
      </c>
      <c r="K85" s="11" t="s">
        <v>18</v>
      </c>
      <c r="L85" s="11" t="s">
        <v>19</v>
      </c>
      <c r="M85" s="11">
        <v>100</v>
      </c>
      <c r="N85" s="12">
        <v>50</v>
      </c>
      <c r="O85" s="16">
        <f t="shared" si="9"/>
        <v>5000</v>
      </c>
      <c r="P85" s="13"/>
    </row>
    <row r="86" spans="4:16">
      <c r="D86" s="4" t="s">
        <v>2</v>
      </c>
      <c r="E86" s="4" t="s">
        <v>3</v>
      </c>
      <c r="F86" s="4" t="s">
        <v>4</v>
      </c>
      <c r="G86" s="4" t="s">
        <v>5</v>
      </c>
      <c r="H86" s="4" t="s">
        <v>6</v>
      </c>
      <c r="I86" s="9" t="s">
        <v>7</v>
      </c>
      <c r="J86" s="9" t="s">
        <v>8</v>
      </c>
      <c r="K86" s="9" t="s">
        <v>9</v>
      </c>
      <c r="L86" s="9" t="s">
        <v>10</v>
      </c>
      <c r="M86" s="9" t="s">
        <v>11</v>
      </c>
      <c r="N86" s="10" t="s">
        <v>12</v>
      </c>
      <c r="O86" s="10" t="s">
        <v>13</v>
      </c>
      <c r="P86" s="13"/>
    </row>
    <row r="87" spans="4:16">
      <c r="D87" s="4"/>
      <c r="E87" s="4"/>
      <c r="F87" s="4"/>
      <c r="G87" s="4"/>
      <c r="H87" s="4"/>
      <c r="I87" s="9"/>
      <c r="J87" s="9"/>
      <c r="K87" s="9"/>
      <c r="L87" s="9"/>
      <c r="M87" s="9"/>
      <c r="N87" s="10"/>
      <c r="O87" s="10"/>
      <c r="P87" s="13"/>
    </row>
    <row r="88" ht="34.8" spans="4:16">
      <c r="D88" s="5">
        <v>61</v>
      </c>
      <c r="E88" s="5">
        <v>61</v>
      </c>
      <c r="F88" s="5" t="s">
        <v>195</v>
      </c>
      <c r="G88" s="5" t="s">
        <v>196</v>
      </c>
      <c r="H88" s="5" t="s">
        <v>130</v>
      </c>
      <c r="I88" s="11" t="s">
        <v>25</v>
      </c>
      <c r="J88" s="11">
        <v>2048</v>
      </c>
      <c r="K88" s="11" t="s">
        <v>18</v>
      </c>
      <c r="L88" s="11" t="s">
        <v>19</v>
      </c>
      <c r="M88" s="11">
        <v>460</v>
      </c>
      <c r="N88" s="12">
        <v>50</v>
      </c>
      <c r="O88" s="16">
        <f t="shared" ref="O88:O93" si="10">N88*M88</f>
        <v>23000</v>
      </c>
      <c r="P88" s="13"/>
    </row>
    <row r="89" ht="34.8" spans="4:16">
      <c r="D89" s="5">
        <v>62</v>
      </c>
      <c r="E89" s="5">
        <v>62</v>
      </c>
      <c r="F89" s="5" t="s">
        <v>197</v>
      </c>
      <c r="G89" s="5" t="s">
        <v>198</v>
      </c>
      <c r="H89" s="5" t="s">
        <v>136</v>
      </c>
      <c r="I89" s="11" t="s">
        <v>25</v>
      </c>
      <c r="J89" s="11">
        <v>2041</v>
      </c>
      <c r="K89" s="11" t="s">
        <v>18</v>
      </c>
      <c r="L89" s="11" t="s">
        <v>26</v>
      </c>
      <c r="M89" s="11">
        <v>75</v>
      </c>
      <c r="N89" s="12">
        <v>250</v>
      </c>
      <c r="O89" s="16">
        <f t="shared" si="10"/>
        <v>18750</v>
      </c>
      <c r="P89" s="13"/>
    </row>
    <row r="90" ht="34.8" spans="4:16">
      <c r="D90" s="5">
        <v>63</v>
      </c>
      <c r="E90" s="5">
        <v>63</v>
      </c>
      <c r="F90" s="5" t="s">
        <v>199</v>
      </c>
      <c r="G90" s="5" t="s">
        <v>200</v>
      </c>
      <c r="H90" s="5" t="s">
        <v>201</v>
      </c>
      <c r="I90" s="11" t="s">
        <v>25</v>
      </c>
      <c r="J90" s="11">
        <v>2013</v>
      </c>
      <c r="K90" s="11" t="s">
        <v>18</v>
      </c>
      <c r="L90" s="11" t="s">
        <v>26</v>
      </c>
      <c r="M90" s="11">
        <v>55</v>
      </c>
      <c r="N90" s="12">
        <v>280</v>
      </c>
      <c r="O90" s="16">
        <f t="shared" si="10"/>
        <v>15400</v>
      </c>
      <c r="P90" s="13"/>
    </row>
    <row r="91" ht="52.2" spans="4:16">
      <c r="D91" s="5">
        <v>64</v>
      </c>
      <c r="E91" s="5">
        <v>64</v>
      </c>
      <c r="F91" s="5" t="s">
        <v>202</v>
      </c>
      <c r="G91" s="5" t="s">
        <v>203</v>
      </c>
      <c r="H91" s="5" t="s">
        <v>204</v>
      </c>
      <c r="I91" s="11" t="s">
        <v>25</v>
      </c>
      <c r="J91" s="11">
        <v>2041</v>
      </c>
      <c r="K91" s="11" t="s">
        <v>18</v>
      </c>
      <c r="L91" s="11" t="s">
        <v>26</v>
      </c>
      <c r="M91" s="11">
        <v>25</v>
      </c>
      <c r="N91" s="12">
        <v>60</v>
      </c>
      <c r="O91" s="16">
        <f t="shared" si="10"/>
        <v>1500</v>
      </c>
      <c r="P91" s="13"/>
    </row>
    <row r="92" ht="34.8" spans="4:16">
      <c r="D92" s="5">
        <v>65</v>
      </c>
      <c r="E92" s="5">
        <v>65</v>
      </c>
      <c r="F92" s="5" t="s">
        <v>205</v>
      </c>
      <c r="G92" s="5" t="s">
        <v>206</v>
      </c>
      <c r="H92" s="5" t="s">
        <v>207</v>
      </c>
      <c r="I92" s="11" t="s">
        <v>25</v>
      </c>
      <c r="J92" s="11">
        <v>2041</v>
      </c>
      <c r="K92" s="11" t="s">
        <v>18</v>
      </c>
      <c r="L92" s="11" t="s">
        <v>19</v>
      </c>
      <c r="M92" s="11">
        <v>23</v>
      </c>
      <c r="N92" s="12">
        <v>280</v>
      </c>
      <c r="O92" s="16">
        <f t="shared" si="10"/>
        <v>6440</v>
      </c>
      <c r="P92" s="13"/>
    </row>
    <row r="93" ht="52.2" spans="4:16">
      <c r="D93" s="5">
        <v>66</v>
      </c>
      <c r="E93" s="5">
        <v>66</v>
      </c>
      <c r="F93" s="5" t="s">
        <v>208</v>
      </c>
      <c r="G93" s="5" t="s">
        <v>209</v>
      </c>
      <c r="H93" s="5" t="s">
        <v>139</v>
      </c>
      <c r="I93" s="11" t="s">
        <v>25</v>
      </c>
      <c r="J93" s="11">
        <v>2041</v>
      </c>
      <c r="K93" s="11" t="s">
        <v>18</v>
      </c>
      <c r="L93" s="11" t="s">
        <v>19</v>
      </c>
      <c r="M93" s="11">
        <v>195</v>
      </c>
      <c r="N93" s="12">
        <v>70</v>
      </c>
      <c r="O93" s="16">
        <f t="shared" si="10"/>
        <v>13650</v>
      </c>
      <c r="P93" s="13"/>
    </row>
    <row r="94" spans="4:16">
      <c r="D94" s="4" t="s">
        <v>2</v>
      </c>
      <c r="E94" s="4" t="s">
        <v>3</v>
      </c>
      <c r="F94" s="4" t="s">
        <v>4</v>
      </c>
      <c r="G94" s="4" t="s">
        <v>5</v>
      </c>
      <c r="H94" s="4" t="s">
        <v>6</v>
      </c>
      <c r="I94" s="9" t="s">
        <v>7</v>
      </c>
      <c r="J94" s="9" t="s">
        <v>8</v>
      </c>
      <c r="K94" s="9" t="s">
        <v>9</v>
      </c>
      <c r="L94" s="9" t="s">
        <v>10</v>
      </c>
      <c r="M94" s="9" t="s">
        <v>11</v>
      </c>
      <c r="N94" s="10" t="s">
        <v>12</v>
      </c>
      <c r="O94" s="10" t="s">
        <v>13</v>
      </c>
      <c r="P94" s="13"/>
    </row>
    <row r="95" spans="4:16">
      <c r="D95" s="4"/>
      <c r="E95" s="4"/>
      <c r="F95" s="4"/>
      <c r="G95" s="4"/>
      <c r="H95" s="4"/>
      <c r="I95" s="9"/>
      <c r="J95" s="9"/>
      <c r="K95" s="9"/>
      <c r="L95" s="9"/>
      <c r="M95" s="9"/>
      <c r="N95" s="10"/>
      <c r="O95" s="10"/>
      <c r="P95" s="13"/>
    </row>
    <row r="96" ht="52.2" spans="4:16">
      <c r="D96" s="5">
        <v>67</v>
      </c>
      <c r="E96" s="5">
        <v>67</v>
      </c>
      <c r="F96" s="5" t="s">
        <v>210</v>
      </c>
      <c r="G96" s="5" t="s">
        <v>211</v>
      </c>
      <c r="H96" s="5" t="s">
        <v>142</v>
      </c>
      <c r="I96" s="11" t="s">
        <v>25</v>
      </c>
      <c r="J96" s="11">
        <v>2041</v>
      </c>
      <c r="K96" s="11" t="s">
        <v>18</v>
      </c>
      <c r="L96" s="11" t="s">
        <v>19</v>
      </c>
      <c r="M96" s="11">
        <v>115</v>
      </c>
      <c r="N96" s="12">
        <v>70</v>
      </c>
      <c r="O96" s="16">
        <f t="shared" ref="O96:O101" si="11">N96*M96</f>
        <v>8050</v>
      </c>
      <c r="P96" s="13"/>
    </row>
    <row r="97" ht="52.2" spans="4:16">
      <c r="D97" s="5">
        <v>68</v>
      </c>
      <c r="E97" s="5">
        <v>68</v>
      </c>
      <c r="F97" s="5" t="s">
        <v>212</v>
      </c>
      <c r="G97" s="5" t="s">
        <v>213</v>
      </c>
      <c r="H97" s="5" t="s">
        <v>145</v>
      </c>
      <c r="I97" s="11" t="s">
        <v>25</v>
      </c>
      <c r="J97" s="11">
        <v>2041</v>
      </c>
      <c r="K97" s="11" t="s">
        <v>18</v>
      </c>
      <c r="L97" s="11" t="s">
        <v>19</v>
      </c>
      <c r="M97" s="11">
        <v>330</v>
      </c>
      <c r="N97" s="12">
        <v>70</v>
      </c>
      <c r="O97" s="16">
        <f t="shared" si="11"/>
        <v>23100</v>
      </c>
      <c r="P97" s="13"/>
    </row>
    <row r="98" ht="34.8" spans="4:16">
      <c r="D98" s="5">
        <v>69</v>
      </c>
      <c r="E98" s="5">
        <v>69</v>
      </c>
      <c r="F98" s="5" t="s">
        <v>214</v>
      </c>
      <c r="G98" s="5" t="s">
        <v>215</v>
      </c>
      <c r="H98" s="5" t="s">
        <v>148</v>
      </c>
      <c r="I98" s="11" t="s">
        <v>25</v>
      </c>
      <c r="J98" s="11">
        <v>2004</v>
      </c>
      <c r="K98" s="11" t="s">
        <v>18</v>
      </c>
      <c r="L98" s="11" t="s">
        <v>19</v>
      </c>
      <c r="M98" s="11">
        <v>195</v>
      </c>
      <c r="N98" s="12">
        <v>40</v>
      </c>
      <c r="O98" s="16">
        <f t="shared" si="11"/>
        <v>7800</v>
      </c>
      <c r="P98" s="13"/>
    </row>
    <row r="99" ht="34.8" spans="4:16">
      <c r="D99" s="5">
        <v>70</v>
      </c>
      <c r="E99" s="5">
        <v>70</v>
      </c>
      <c r="F99" s="5" t="s">
        <v>216</v>
      </c>
      <c r="G99" s="5" t="s">
        <v>217</v>
      </c>
      <c r="H99" s="5" t="s">
        <v>151</v>
      </c>
      <c r="I99" s="11" t="s">
        <v>25</v>
      </c>
      <c r="J99" s="11">
        <v>2017</v>
      </c>
      <c r="K99" s="11" t="s">
        <v>18</v>
      </c>
      <c r="L99" s="11" t="s">
        <v>19</v>
      </c>
      <c r="M99" s="11">
        <v>195</v>
      </c>
      <c r="N99" s="12">
        <v>25</v>
      </c>
      <c r="O99" s="16">
        <f t="shared" si="11"/>
        <v>4875</v>
      </c>
      <c r="P99" s="13"/>
    </row>
    <row r="100" ht="34.8" spans="4:16">
      <c r="D100" s="5">
        <v>71</v>
      </c>
      <c r="E100" s="5">
        <v>71</v>
      </c>
      <c r="F100" s="5" t="s">
        <v>218</v>
      </c>
      <c r="G100" s="5" t="s">
        <v>219</v>
      </c>
      <c r="H100" s="5" t="s">
        <v>154</v>
      </c>
      <c r="I100" s="11" t="s">
        <v>25</v>
      </c>
      <c r="J100" s="11">
        <v>2017</v>
      </c>
      <c r="K100" s="11" t="s">
        <v>18</v>
      </c>
      <c r="L100" s="11" t="s">
        <v>19</v>
      </c>
      <c r="M100" s="11">
        <v>195</v>
      </c>
      <c r="N100" s="12">
        <v>60</v>
      </c>
      <c r="O100" s="16">
        <f t="shared" si="11"/>
        <v>11700</v>
      </c>
      <c r="P100" s="13"/>
    </row>
    <row r="101" ht="34.8" spans="4:16">
      <c r="D101" s="5">
        <v>72</v>
      </c>
      <c r="E101" s="5">
        <v>72</v>
      </c>
      <c r="F101" s="5" t="s">
        <v>220</v>
      </c>
      <c r="G101" s="5" t="s">
        <v>221</v>
      </c>
      <c r="H101" s="5" t="s">
        <v>70</v>
      </c>
      <c r="I101" s="11" t="s">
        <v>25</v>
      </c>
      <c r="J101" s="11">
        <v>2017</v>
      </c>
      <c r="K101" s="11" t="s">
        <v>18</v>
      </c>
      <c r="L101" s="11" t="s">
        <v>19</v>
      </c>
      <c r="M101" s="11">
        <v>195</v>
      </c>
      <c r="N101" s="12">
        <v>40</v>
      </c>
      <c r="O101" s="16">
        <f t="shared" si="11"/>
        <v>7800</v>
      </c>
      <c r="P101" s="13"/>
    </row>
    <row r="102" spans="4:16">
      <c r="D102" s="4" t="s">
        <v>2</v>
      </c>
      <c r="E102" s="4" t="s">
        <v>3</v>
      </c>
      <c r="F102" s="4" t="s">
        <v>4</v>
      </c>
      <c r="G102" s="4" t="s">
        <v>5</v>
      </c>
      <c r="H102" s="4" t="s">
        <v>6</v>
      </c>
      <c r="I102" s="9" t="s">
        <v>7</v>
      </c>
      <c r="J102" s="9" t="s">
        <v>8</v>
      </c>
      <c r="K102" s="9" t="s">
        <v>9</v>
      </c>
      <c r="L102" s="9" t="s">
        <v>10</v>
      </c>
      <c r="M102" s="9" t="s">
        <v>11</v>
      </c>
      <c r="N102" s="10" t="s">
        <v>12</v>
      </c>
      <c r="O102" s="10" t="s">
        <v>13</v>
      </c>
      <c r="P102" s="13"/>
    </row>
    <row r="103" spans="4:16">
      <c r="D103" s="4"/>
      <c r="E103" s="4"/>
      <c r="F103" s="4"/>
      <c r="G103" s="4"/>
      <c r="H103" s="4"/>
      <c r="I103" s="9"/>
      <c r="J103" s="9"/>
      <c r="K103" s="9"/>
      <c r="L103" s="9"/>
      <c r="M103" s="9"/>
      <c r="N103" s="10"/>
      <c r="O103" s="10"/>
      <c r="P103" s="13"/>
    </row>
    <row r="104" ht="34.8" spans="4:16">
      <c r="D104" s="5">
        <v>73</v>
      </c>
      <c r="E104" s="5">
        <v>73</v>
      </c>
      <c r="F104" s="5" t="s">
        <v>222</v>
      </c>
      <c r="G104" s="5" t="s">
        <v>223</v>
      </c>
      <c r="H104" s="5" t="s">
        <v>73</v>
      </c>
      <c r="I104" s="11" t="s">
        <v>25</v>
      </c>
      <c r="J104" s="11">
        <v>2017</v>
      </c>
      <c r="K104" s="11" t="s">
        <v>18</v>
      </c>
      <c r="L104" s="11" t="s">
        <v>19</v>
      </c>
      <c r="M104" s="11">
        <v>195</v>
      </c>
      <c r="N104" s="12">
        <v>7</v>
      </c>
      <c r="O104" s="16">
        <f t="shared" ref="O104:O109" si="12">N104*M104</f>
        <v>1365</v>
      </c>
      <c r="P104" s="13"/>
    </row>
    <row r="105" ht="34.8" spans="4:16">
      <c r="D105" s="5">
        <v>74</v>
      </c>
      <c r="E105" s="5">
        <v>74</v>
      </c>
      <c r="F105" s="5" t="s">
        <v>224</v>
      </c>
      <c r="G105" s="5" t="s">
        <v>225</v>
      </c>
      <c r="H105" s="5" t="s">
        <v>226</v>
      </c>
      <c r="I105" s="11" t="s">
        <v>25</v>
      </c>
      <c r="J105" s="11">
        <v>2017</v>
      </c>
      <c r="K105" s="11" t="s">
        <v>18</v>
      </c>
      <c r="L105" s="11" t="s">
        <v>19</v>
      </c>
      <c r="M105" s="11">
        <v>60</v>
      </c>
      <c r="N105" s="12">
        <v>105</v>
      </c>
      <c r="O105" s="16">
        <f t="shared" si="12"/>
        <v>6300</v>
      </c>
      <c r="P105" s="13"/>
    </row>
    <row r="106" ht="34.8" spans="4:16">
      <c r="D106" s="5">
        <v>75</v>
      </c>
      <c r="E106" s="5">
        <v>75</v>
      </c>
      <c r="F106" s="5" t="s">
        <v>227</v>
      </c>
      <c r="G106" s="5" t="s">
        <v>228</v>
      </c>
      <c r="H106" s="5" t="s">
        <v>164</v>
      </c>
      <c r="I106" s="11" t="s">
        <v>25</v>
      </c>
      <c r="J106" s="11">
        <v>2041</v>
      </c>
      <c r="K106" s="11" t="s">
        <v>18</v>
      </c>
      <c r="L106" s="11" t="s">
        <v>19</v>
      </c>
      <c r="M106" s="11">
        <v>195</v>
      </c>
      <c r="N106" s="12">
        <v>70</v>
      </c>
      <c r="O106" s="16">
        <f t="shared" si="12"/>
        <v>13650</v>
      </c>
      <c r="P106" s="13"/>
    </row>
    <row r="107" ht="34.8" spans="4:16">
      <c r="D107" s="5">
        <v>76</v>
      </c>
      <c r="E107" s="5">
        <v>76</v>
      </c>
      <c r="F107" s="5" t="s">
        <v>229</v>
      </c>
      <c r="G107" s="5" t="s">
        <v>230</v>
      </c>
      <c r="H107" s="5" t="s">
        <v>231</v>
      </c>
      <c r="I107" s="11" t="s">
        <v>25</v>
      </c>
      <c r="J107" s="11">
        <v>2013</v>
      </c>
      <c r="K107" s="11" t="s">
        <v>18</v>
      </c>
      <c r="L107" s="11" t="s">
        <v>26</v>
      </c>
      <c r="M107" s="11">
        <v>7</v>
      </c>
      <c r="N107" s="12">
        <v>280</v>
      </c>
      <c r="O107" s="16">
        <f t="shared" si="12"/>
        <v>1960</v>
      </c>
      <c r="P107" s="13"/>
    </row>
    <row r="108" ht="34.8" spans="4:16">
      <c r="D108" s="5">
        <v>77</v>
      </c>
      <c r="E108" s="5">
        <v>77</v>
      </c>
      <c r="F108" s="5" t="s">
        <v>232</v>
      </c>
      <c r="G108" s="5" t="s">
        <v>233</v>
      </c>
      <c r="H108" s="5" t="s">
        <v>234</v>
      </c>
      <c r="I108" s="11" t="s">
        <v>25</v>
      </c>
      <c r="J108" s="11">
        <v>2031</v>
      </c>
      <c r="K108" s="11" t="s">
        <v>18</v>
      </c>
      <c r="L108" s="11" t="s">
        <v>33</v>
      </c>
      <c r="M108" s="11">
        <v>1</v>
      </c>
      <c r="N108" s="12">
        <v>3150</v>
      </c>
      <c r="O108" s="16">
        <f t="shared" si="12"/>
        <v>3150</v>
      </c>
      <c r="P108" s="13"/>
    </row>
    <row r="109" ht="34.8" spans="4:16">
      <c r="D109" s="5">
        <v>78</v>
      </c>
      <c r="E109" s="5">
        <v>78</v>
      </c>
      <c r="F109" s="5" t="s">
        <v>235</v>
      </c>
      <c r="G109" s="5" t="s">
        <v>236</v>
      </c>
      <c r="H109" s="5" t="s">
        <v>237</v>
      </c>
      <c r="I109" s="11" t="s">
        <v>25</v>
      </c>
      <c r="J109" s="11">
        <v>2031</v>
      </c>
      <c r="K109" s="11" t="s">
        <v>18</v>
      </c>
      <c r="L109" s="11" t="s">
        <v>33</v>
      </c>
      <c r="M109" s="11">
        <v>6</v>
      </c>
      <c r="N109" s="12">
        <v>3150</v>
      </c>
      <c r="O109" s="16">
        <f t="shared" si="12"/>
        <v>18900</v>
      </c>
      <c r="P109" s="13"/>
    </row>
    <row r="110" spans="4:16">
      <c r="D110" s="4" t="s">
        <v>2</v>
      </c>
      <c r="E110" s="4" t="s">
        <v>3</v>
      </c>
      <c r="F110" s="4" t="s">
        <v>4</v>
      </c>
      <c r="G110" s="4" t="s">
        <v>5</v>
      </c>
      <c r="H110" s="4" t="s">
        <v>6</v>
      </c>
      <c r="I110" s="9" t="s">
        <v>7</v>
      </c>
      <c r="J110" s="9" t="s">
        <v>8</v>
      </c>
      <c r="K110" s="9" t="s">
        <v>9</v>
      </c>
      <c r="L110" s="9" t="s">
        <v>10</v>
      </c>
      <c r="M110" s="9" t="s">
        <v>11</v>
      </c>
      <c r="N110" s="10" t="s">
        <v>12</v>
      </c>
      <c r="O110" s="10" t="s">
        <v>13</v>
      </c>
      <c r="P110" s="13"/>
    </row>
    <row r="111" spans="4:16">
      <c r="D111" s="4"/>
      <c r="E111" s="4"/>
      <c r="F111" s="4"/>
      <c r="G111" s="4"/>
      <c r="H111" s="4"/>
      <c r="I111" s="9"/>
      <c r="J111" s="9"/>
      <c r="K111" s="9"/>
      <c r="L111" s="9"/>
      <c r="M111" s="9"/>
      <c r="N111" s="10"/>
      <c r="O111" s="10"/>
      <c r="P111" s="13"/>
    </row>
    <row r="112" ht="69.6" spans="4:16">
      <c r="D112" s="5">
        <v>79</v>
      </c>
      <c r="E112" s="5">
        <v>79</v>
      </c>
      <c r="F112" s="5" t="s">
        <v>238</v>
      </c>
      <c r="G112" s="5" t="s">
        <v>239</v>
      </c>
      <c r="H112" s="5" t="s">
        <v>240</v>
      </c>
      <c r="I112" s="11" t="s">
        <v>25</v>
      </c>
      <c r="J112" s="11">
        <v>2031</v>
      </c>
      <c r="K112" s="11" t="s">
        <v>18</v>
      </c>
      <c r="L112" s="11" t="s">
        <v>33</v>
      </c>
      <c r="M112" s="11">
        <v>4</v>
      </c>
      <c r="N112" s="12">
        <v>2380</v>
      </c>
      <c r="O112" s="16">
        <f t="shared" ref="O112:O117" si="13">N112*M112</f>
        <v>9520</v>
      </c>
      <c r="P112" s="13"/>
    </row>
    <row r="113" ht="69.6" spans="4:16">
      <c r="D113" s="5">
        <v>80</v>
      </c>
      <c r="E113" s="5">
        <v>80</v>
      </c>
      <c r="F113" s="5" t="s">
        <v>241</v>
      </c>
      <c r="G113" s="5" t="s">
        <v>242</v>
      </c>
      <c r="H113" s="5" t="s">
        <v>243</v>
      </c>
      <c r="I113" s="11" t="s">
        <v>25</v>
      </c>
      <c r="J113" s="11">
        <v>2031</v>
      </c>
      <c r="K113" s="11" t="s">
        <v>18</v>
      </c>
      <c r="L113" s="11" t="s">
        <v>33</v>
      </c>
      <c r="M113" s="11">
        <v>6</v>
      </c>
      <c r="N113" s="12">
        <v>2380</v>
      </c>
      <c r="O113" s="16">
        <f t="shared" si="13"/>
        <v>14280</v>
      </c>
      <c r="P113" s="13"/>
    </row>
    <row r="114" ht="34.8" spans="4:16">
      <c r="D114" s="5">
        <v>81</v>
      </c>
      <c r="E114" s="5">
        <v>81</v>
      </c>
      <c r="F114" s="5" t="s">
        <v>244</v>
      </c>
      <c r="G114" s="5" t="s">
        <v>245</v>
      </c>
      <c r="H114" s="5" t="s">
        <v>246</v>
      </c>
      <c r="I114" s="11" t="s">
        <v>25</v>
      </c>
      <c r="J114" s="11">
        <v>2031</v>
      </c>
      <c r="K114" s="11" t="s">
        <v>18</v>
      </c>
      <c r="L114" s="11" t="s">
        <v>33</v>
      </c>
      <c r="M114" s="11">
        <v>2</v>
      </c>
      <c r="N114" s="12">
        <v>3150</v>
      </c>
      <c r="O114" s="16">
        <f t="shared" si="13"/>
        <v>6300</v>
      </c>
      <c r="P114" s="13"/>
    </row>
    <row r="115" ht="52.2" spans="4:16">
      <c r="D115" s="5">
        <v>82</v>
      </c>
      <c r="E115" s="5">
        <v>82</v>
      </c>
      <c r="F115" s="5" t="s">
        <v>247</v>
      </c>
      <c r="G115" s="5" t="s">
        <v>248</v>
      </c>
      <c r="H115" s="5" t="s">
        <v>249</v>
      </c>
      <c r="I115" s="11" t="s">
        <v>25</v>
      </c>
      <c r="J115" s="11">
        <v>2036</v>
      </c>
      <c r="K115" s="11" t="s">
        <v>18</v>
      </c>
      <c r="L115" s="11" t="s">
        <v>33</v>
      </c>
      <c r="M115" s="11">
        <v>13</v>
      </c>
      <c r="N115" s="12">
        <v>1330</v>
      </c>
      <c r="O115" s="16">
        <f t="shared" si="13"/>
        <v>17290</v>
      </c>
      <c r="P115" s="13"/>
    </row>
    <row r="116" ht="52.2" spans="4:16">
      <c r="D116" s="5">
        <v>83</v>
      </c>
      <c r="E116" s="5">
        <v>83</v>
      </c>
      <c r="F116" s="5" t="s">
        <v>250</v>
      </c>
      <c r="G116" s="5" t="s">
        <v>251</v>
      </c>
      <c r="H116" s="5" t="s">
        <v>252</v>
      </c>
      <c r="I116" s="11" t="s">
        <v>25</v>
      </c>
      <c r="J116" s="11">
        <v>2036</v>
      </c>
      <c r="K116" s="11" t="s">
        <v>18</v>
      </c>
      <c r="L116" s="11" t="s">
        <v>33</v>
      </c>
      <c r="M116" s="11">
        <v>6</v>
      </c>
      <c r="N116" s="12">
        <v>1190</v>
      </c>
      <c r="O116" s="16">
        <f t="shared" si="13"/>
        <v>7140</v>
      </c>
      <c r="P116" s="13"/>
    </row>
    <row r="117" ht="52.2" spans="4:16">
      <c r="D117" s="5">
        <v>84</v>
      </c>
      <c r="E117" s="5">
        <v>84</v>
      </c>
      <c r="F117" s="5" t="s">
        <v>253</v>
      </c>
      <c r="G117" s="5" t="s">
        <v>254</v>
      </c>
      <c r="H117" s="5" t="s">
        <v>255</v>
      </c>
      <c r="I117" s="11" t="s">
        <v>25</v>
      </c>
      <c r="J117" s="11">
        <v>2036</v>
      </c>
      <c r="K117" s="11" t="s">
        <v>18</v>
      </c>
      <c r="L117" s="11" t="s">
        <v>33</v>
      </c>
      <c r="M117" s="11">
        <v>2</v>
      </c>
      <c r="N117" s="12">
        <v>840</v>
      </c>
      <c r="O117" s="16">
        <f t="shared" si="13"/>
        <v>1680</v>
      </c>
      <c r="P117" s="13"/>
    </row>
    <row r="118" spans="4:16">
      <c r="D118" s="4" t="s">
        <v>2</v>
      </c>
      <c r="E118" s="4" t="s">
        <v>3</v>
      </c>
      <c r="F118" s="4" t="s">
        <v>4</v>
      </c>
      <c r="G118" s="4" t="s">
        <v>5</v>
      </c>
      <c r="H118" s="4" t="s">
        <v>6</v>
      </c>
      <c r="I118" s="9" t="s">
        <v>7</v>
      </c>
      <c r="J118" s="9" t="s">
        <v>8</v>
      </c>
      <c r="K118" s="9" t="s">
        <v>9</v>
      </c>
      <c r="L118" s="9" t="s">
        <v>10</v>
      </c>
      <c r="M118" s="9" t="s">
        <v>11</v>
      </c>
      <c r="N118" s="10" t="s">
        <v>12</v>
      </c>
      <c r="O118" s="10" t="s">
        <v>13</v>
      </c>
      <c r="P118" s="13"/>
    </row>
    <row r="119" ht="17.55" customHeight="1" spans="4:16">
      <c r="D119" s="4"/>
      <c r="E119" s="4"/>
      <c r="F119" s="4"/>
      <c r="G119" s="4"/>
      <c r="H119" s="4"/>
      <c r="I119" s="9"/>
      <c r="J119" s="9"/>
      <c r="K119" s="9"/>
      <c r="L119" s="9"/>
      <c r="M119" s="9"/>
      <c r="N119" s="10"/>
      <c r="O119" s="10"/>
      <c r="P119" s="13"/>
    </row>
    <row r="120" ht="52.2" spans="4:16">
      <c r="D120" s="5">
        <v>85</v>
      </c>
      <c r="E120" s="5">
        <v>85</v>
      </c>
      <c r="F120" s="5" t="s">
        <v>256</v>
      </c>
      <c r="G120" s="5" t="s">
        <v>257</v>
      </c>
      <c r="H120" s="5" t="s">
        <v>258</v>
      </c>
      <c r="I120" s="11" t="s">
        <v>25</v>
      </c>
      <c r="J120" s="11">
        <v>2036</v>
      </c>
      <c r="K120" s="11" t="s">
        <v>18</v>
      </c>
      <c r="L120" s="11" t="s">
        <v>33</v>
      </c>
      <c r="M120" s="11">
        <v>2</v>
      </c>
      <c r="N120" s="12">
        <v>840</v>
      </c>
      <c r="O120" s="16">
        <f t="shared" ref="O120:O125" si="14">N120*M120</f>
        <v>1680</v>
      </c>
      <c r="P120" s="13"/>
    </row>
    <row r="121" ht="34.8" spans="4:16">
      <c r="D121" s="5">
        <v>86</v>
      </c>
      <c r="E121" s="5">
        <v>86</v>
      </c>
      <c r="F121" s="5" t="s">
        <v>259</v>
      </c>
      <c r="G121" s="5" t="s">
        <v>260</v>
      </c>
      <c r="H121" s="5" t="s">
        <v>261</v>
      </c>
      <c r="I121" s="11" t="s">
        <v>17</v>
      </c>
      <c r="J121" s="11"/>
      <c r="K121" s="11" t="s">
        <v>18</v>
      </c>
      <c r="L121" s="11" t="s">
        <v>26</v>
      </c>
      <c r="M121" s="11">
        <v>7</v>
      </c>
      <c r="N121" s="12">
        <v>1680</v>
      </c>
      <c r="O121" s="16">
        <f t="shared" si="14"/>
        <v>11760</v>
      </c>
      <c r="P121" s="13"/>
    </row>
    <row r="122" ht="34.8" spans="4:16">
      <c r="D122" s="5">
        <v>87</v>
      </c>
      <c r="E122" s="5">
        <v>87</v>
      </c>
      <c r="F122" s="5" t="s">
        <v>262</v>
      </c>
      <c r="G122" s="5" t="s">
        <v>263</v>
      </c>
      <c r="H122" s="5" t="s">
        <v>264</v>
      </c>
      <c r="I122" s="11" t="s">
        <v>17</v>
      </c>
      <c r="J122" s="11"/>
      <c r="K122" s="11" t="s">
        <v>18</v>
      </c>
      <c r="L122" s="11" t="s">
        <v>26</v>
      </c>
      <c r="M122" s="11">
        <v>12</v>
      </c>
      <c r="N122" s="12">
        <v>1680</v>
      </c>
      <c r="O122" s="16">
        <f t="shared" si="14"/>
        <v>20160</v>
      </c>
      <c r="P122" s="13"/>
    </row>
    <row r="123" ht="34.8" spans="4:16">
      <c r="D123" s="5">
        <v>88</v>
      </c>
      <c r="E123" s="5">
        <v>88</v>
      </c>
      <c r="F123" s="5" t="s">
        <v>265</v>
      </c>
      <c r="G123" s="5" t="s">
        <v>266</v>
      </c>
      <c r="H123" s="5" t="s">
        <v>267</v>
      </c>
      <c r="I123" s="11" t="s">
        <v>25</v>
      </c>
      <c r="J123" s="11">
        <v>2007</v>
      </c>
      <c r="K123" s="11" t="s">
        <v>18</v>
      </c>
      <c r="L123" s="11" t="s">
        <v>19</v>
      </c>
      <c r="M123" s="11">
        <v>70</v>
      </c>
      <c r="N123" s="12">
        <v>105</v>
      </c>
      <c r="O123" s="16">
        <f t="shared" si="14"/>
        <v>7350</v>
      </c>
      <c r="P123" s="13"/>
    </row>
    <row r="124" ht="34.8" spans="4:16">
      <c r="D124" s="5">
        <v>89</v>
      </c>
      <c r="E124" s="5">
        <v>89</v>
      </c>
      <c r="F124" s="5" t="s">
        <v>268</v>
      </c>
      <c r="G124" s="5" t="s">
        <v>269</v>
      </c>
      <c r="H124" s="5" t="s">
        <v>115</v>
      </c>
      <c r="I124" s="11" t="s">
        <v>25</v>
      </c>
      <c r="J124" s="11">
        <v>2007</v>
      </c>
      <c r="K124" s="11" t="s">
        <v>18</v>
      </c>
      <c r="L124" s="11" t="s">
        <v>19</v>
      </c>
      <c r="M124" s="11">
        <v>12</v>
      </c>
      <c r="N124" s="12">
        <v>60</v>
      </c>
      <c r="O124" s="16">
        <f t="shared" si="14"/>
        <v>720</v>
      </c>
      <c r="P124" s="13"/>
    </row>
    <row r="125" ht="34.8" spans="4:16">
      <c r="D125" s="5">
        <v>90</v>
      </c>
      <c r="E125" s="5">
        <v>90</v>
      </c>
      <c r="F125" s="5" t="s">
        <v>270</v>
      </c>
      <c r="G125" s="5" t="s">
        <v>271</v>
      </c>
      <c r="H125" s="5" t="s">
        <v>187</v>
      </c>
      <c r="I125" s="11" t="s">
        <v>25</v>
      </c>
      <c r="J125" s="11">
        <v>2049</v>
      </c>
      <c r="K125" s="11" t="s">
        <v>18</v>
      </c>
      <c r="L125" s="11" t="s">
        <v>19</v>
      </c>
      <c r="M125" s="11">
        <v>140</v>
      </c>
      <c r="N125" s="12">
        <v>50</v>
      </c>
      <c r="O125" s="16">
        <f t="shared" si="14"/>
        <v>7000</v>
      </c>
      <c r="P125" s="13"/>
    </row>
    <row r="126" spans="4:16">
      <c r="D126" s="4" t="s">
        <v>2</v>
      </c>
      <c r="E126" s="4" t="s">
        <v>3</v>
      </c>
      <c r="F126" s="4" t="s">
        <v>4</v>
      </c>
      <c r="G126" s="4" t="s">
        <v>5</v>
      </c>
      <c r="H126" s="4" t="s">
        <v>6</v>
      </c>
      <c r="I126" s="9" t="s">
        <v>7</v>
      </c>
      <c r="J126" s="9" t="s">
        <v>8</v>
      </c>
      <c r="K126" s="9" t="s">
        <v>9</v>
      </c>
      <c r="L126" s="9" t="s">
        <v>10</v>
      </c>
      <c r="M126" s="9" t="s">
        <v>11</v>
      </c>
      <c r="N126" s="10" t="s">
        <v>12</v>
      </c>
      <c r="O126" s="10" t="s">
        <v>13</v>
      </c>
      <c r="P126" s="13"/>
    </row>
    <row r="127" spans="4:16">
      <c r="D127" s="4"/>
      <c r="E127" s="4"/>
      <c r="F127" s="4"/>
      <c r="G127" s="4"/>
      <c r="H127" s="4"/>
      <c r="I127" s="9"/>
      <c r="J127" s="9"/>
      <c r="K127" s="9"/>
      <c r="L127" s="9"/>
      <c r="M127" s="9"/>
      <c r="N127" s="10"/>
      <c r="O127" s="10"/>
      <c r="P127" s="13"/>
    </row>
    <row r="128" ht="34.8" spans="4:16">
      <c r="D128" s="5">
        <v>91</v>
      </c>
      <c r="E128" s="5">
        <v>91</v>
      </c>
      <c r="F128" s="5" t="s">
        <v>272</v>
      </c>
      <c r="G128" s="5" t="s">
        <v>273</v>
      </c>
      <c r="H128" s="5" t="s">
        <v>121</v>
      </c>
      <c r="I128" s="11" t="s">
        <v>25</v>
      </c>
      <c r="J128" s="11">
        <v>2049</v>
      </c>
      <c r="K128" s="11" t="s">
        <v>18</v>
      </c>
      <c r="L128" s="11" t="s">
        <v>19</v>
      </c>
      <c r="M128" s="11">
        <v>75</v>
      </c>
      <c r="N128" s="12">
        <v>50</v>
      </c>
      <c r="O128" s="16">
        <f t="shared" ref="O128:O133" si="15">N128*M128</f>
        <v>3750</v>
      </c>
      <c r="P128" s="13"/>
    </row>
    <row r="129" ht="52.2" spans="4:16">
      <c r="D129" s="5">
        <v>92</v>
      </c>
      <c r="E129" s="5">
        <v>92</v>
      </c>
      <c r="F129" s="5" t="s">
        <v>274</v>
      </c>
      <c r="G129" s="5" t="s">
        <v>275</v>
      </c>
      <c r="H129" s="5" t="s">
        <v>124</v>
      </c>
      <c r="I129" s="11" t="s">
        <v>25</v>
      </c>
      <c r="J129" s="11">
        <v>2048</v>
      </c>
      <c r="K129" s="11" t="s">
        <v>18</v>
      </c>
      <c r="L129" s="11" t="s">
        <v>19</v>
      </c>
      <c r="M129" s="11">
        <v>75</v>
      </c>
      <c r="N129" s="12">
        <v>40</v>
      </c>
      <c r="O129" s="16">
        <f t="shared" si="15"/>
        <v>3000</v>
      </c>
      <c r="P129" s="13"/>
    </row>
    <row r="130" ht="34.8" spans="4:16">
      <c r="D130" s="5">
        <v>93</v>
      </c>
      <c r="E130" s="5">
        <v>93</v>
      </c>
      <c r="F130" s="5" t="s">
        <v>276</v>
      </c>
      <c r="G130" s="5" t="s">
        <v>277</v>
      </c>
      <c r="H130" s="5" t="s">
        <v>127</v>
      </c>
      <c r="I130" s="11" t="s">
        <v>25</v>
      </c>
      <c r="J130" s="11">
        <v>2048</v>
      </c>
      <c r="K130" s="11" t="s">
        <v>18</v>
      </c>
      <c r="L130" s="11" t="s">
        <v>19</v>
      </c>
      <c r="M130" s="11">
        <v>17</v>
      </c>
      <c r="N130" s="12">
        <v>50</v>
      </c>
      <c r="O130" s="16">
        <f t="shared" si="15"/>
        <v>850</v>
      </c>
      <c r="P130" s="13"/>
    </row>
    <row r="131" ht="34.8" spans="4:16">
      <c r="D131" s="5">
        <v>94</v>
      </c>
      <c r="E131" s="5">
        <v>94</v>
      </c>
      <c r="F131" s="5" t="s">
        <v>278</v>
      </c>
      <c r="G131" s="5" t="s">
        <v>279</v>
      </c>
      <c r="H131" s="5" t="s">
        <v>130</v>
      </c>
      <c r="I131" s="11" t="s">
        <v>25</v>
      </c>
      <c r="J131" s="11">
        <v>2048</v>
      </c>
      <c r="K131" s="11" t="s">
        <v>18</v>
      </c>
      <c r="L131" s="11" t="s">
        <v>19</v>
      </c>
      <c r="M131" s="11">
        <v>140</v>
      </c>
      <c r="N131" s="12">
        <v>50</v>
      </c>
      <c r="O131" s="16">
        <f t="shared" si="15"/>
        <v>7000</v>
      </c>
      <c r="P131" s="13"/>
    </row>
    <row r="132" ht="34.8" spans="4:16">
      <c r="D132" s="5">
        <v>95</v>
      </c>
      <c r="E132" s="5">
        <v>95</v>
      </c>
      <c r="F132" s="5" t="s">
        <v>280</v>
      </c>
      <c r="G132" s="5" t="s">
        <v>281</v>
      </c>
      <c r="H132" s="5" t="s">
        <v>133</v>
      </c>
      <c r="I132" s="11" t="s">
        <v>25</v>
      </c>
      <c r="J132" s="11">
        <v>2048</v>
      </c>
      <c r="K132" s="11" t="s">
        <v>18</v>
      </c>
      <c r="L132" s="11" t="s">
        <v>19</v>
      </c>
      <c r="M132" s="11">
        <v>225</v>
      </c>
      <c r="N132" s="12">
        <v>50</v>
      </c>
      <c r="O132" s="16">
        <f t="shared" si="15"/>
        <v>11250</v>
      </c>
      <c r="P132" s="13"/>
    </row>
    <row r="133" ht="34.8" spans="4:16">
      <c r="D133" s="5">
        <v>96</v>
      </c>
      <c r="E133" s="5">
        <v>96</v>
      </c>
      <c r="F133" s="5" t="s">
        <v>282</v>
      </c>
      <c r="G133" s="5" t="s">
        <v>283</v>
      </c>
      <c r="H133" s="5" t="s">
        <v>136</v>
      </c>
      <c r="I133" s="11" t="s">
        <v>25</v>
      </c>
      <c r="J133" s="11">
        <v>2041</v>
      </c>
      <c r="K133" s="11" t="s">
        <v>18</v>
      </c>
      <c r="L133" s="11" t="s">
        <v>26</v>
      </c>
      <c r="M133" s="11">
        <v>20</v>
      </c>
      <c r="N133" s="12">
        <v>250</v>
      </c>
      <c r="O133" s="16">
        <f t="shared" si="15"/>
        <v>5000</v>
      </c>
      <c r="P133" s="13"/>
    </row>
    <row r="134" spans="4:16">
      <c r="D134" s="4" t="s">
        <v>37</v>
      </c>
      <c r="E134" s="4" t="s">
        <v>3</v>
      </c>
      <c r="F134" s="4" t="s">
        <v>4</v>
      </c>
      <c r="G134" s="4" t="s">
        <v>5</v>
      </c>
      <c r="H134" s="4" t="s">
        <v>6</v>
      </c>
      <c r="I134" s="9" t="s">
        <v>7</v>
      </c>
      <c r="J134" s="9" t="s">
        <v>8</v>
      </c>
      <c r="K134" s="9" t="s">
        <v>9</v>
      </c>
      <c r="L134" s="9" t="s">
        <v>10</v>
      </c>
      <c r="M134" s="9" t="s">
        <v>11</v>
      </c>
      <c r="N134" s="10" t="s">
        <v>12</v>
      </c>
      <c r="O134" s="10" t="s">
        <v>13</v>
      </c>
      <c r="P134" s="13"/>
    </row>
    <row r="135" spans="4:16">
      <c r="D135" s="4"/>
      <c r="E135" s="4"/>
      <c r="F135" s="4"/>
      <c r="G135" s="4"/>
      <c r="H135" s="4"/>
      <c r="I135" s="9"/>
      <c r="J135" s="9"/>
      <c r="K135" s="9"/>
      <c r="L135" s="9"/>
      <c r="M135" s="9"/>
      <c r="N135" s="10"/>
      <c r="O135" s="10"/>
      <c r="P135" s="13"/>
    </row>
    <row r="136" ht="52.2" spans="4:16">
      <c r="D136" s="5">
        <v>97</v>
      </c>
      <c r="E136" s="5">
        <v>97</v>
      </c>
      <c r="F136" s="5" t="s">
        <v>284</v>
      </c>
      <c r="G136" s="5" t="s">
        <v>285</v>
      </c>
      <c r="H136" s="5" t="s">
        <v>139</v>
      </c>
      <c r="I136" s="11" t="s">
        <v>25</v>
      </c>
      <c r="J136" s="11">
        <v>2041</v>
      </c>
      <c r="K136" s="11" t="s">
        <v>18</v>
      </c>
      <c r="L136" s="11" t="s">
        <v>19</v>
      </c>
      <c r="M136" s="11">
        <v>16</v>
      </c>
      <c r="N136" s="12">
        <v>70</v>
      </c>
      <c r="O136" s="16">
        <f t="shared" ref="O136:O141" si="16">N136*M136</f>
        <v>1120</v>
      </c>
      <c r="P136" s="13"/>
    </row>
    <row r="137" ht="52.2" spans="4:16">
      <c r="D137" s="5">
        <v>98</v>
      </c>
      <c r="E137" s="5">
        <v>98</v>
      </c>
      <c r="F137" s="5" t="s">
        <v>286</v>
      </c>
      <c r="G137" s="5" t="s">
        <v>287</v>
      </c>
      <c r="H137" s="5" t="s">
        <v>142</v>
      </c>
      <c r="I137" s="11" t="s">
        <v>25</v>
      </c>
      <c r="J137" s="11">
        <v>2041</v>
      </c>
      <c r="K137" s="11" t="s">
        <v>18</v>
      </c>
      <c r="L137" s="11" t="s">
        <v>19</v>
      </c>
      <c r="M137" s="11">
        <v>3</v>
      </c>
      <c r="N137" s="12">
        <v>70</v>
      </c>
      <c r="O137" s="16">
        <f t="shared" si="16"/>
        <v>210</v>
      </c>
      <c r="P137" s="13"/>
    </row>
    <row r="138" ht="52.2" spans="4:16">
      <c r="D138" s="5">
        <v>99</v>
      </c>
      <c r="E138" s="5">
        <v>99</v>
      </c>
      <c r="F138" s="5" t="s">
        <v>288</v>
      </c>
      <c r="G138" s="5" t="s">
        <v>289</v>
      </c>
      <c r="H138" s="5" t="s">
        <v>145</v>
      </c>
      <c r="I138" s="11" t="s">
        <v>25</v>
      </c>
      <c r="J138" s="11">
        <v>2041</v>
      </c>
      <c r="K138" s="11" t="s">
        <v>18</v>
      </c>
      <c r="L138" s="11" t="s">
        <v>19</v>
      </c>
      <c r="M138" s="11">
        <v>23</v>
      </c>
      <c r="N138" s="12">
        <v>70</v>
      </c>
      <c r="O138" s="16">
        <f t="shared" si="16"/>
        <v>1610</v>
      </c>
      <c r="P138" s="13"/>
    </row>
    <row r="139" ht="34.8" spans="4:16">
      <c r="D139" s="5">
        <v>100</v>
      </c>
      <c r="E139" s="5">
        <v>100</v>
      </c>
      <c r="F139" s="5" t="s">
        <v>290</v>
      </c>
      <c r="G139" s="5" t="s">
        <v>291</v>
      </c>
      <c r="H139" s="5" t="s">
        <v>148</v>
      </c>
      <c r="I139" s="11" t="s">
        <v>25</v>
      </c>
      <c r="J139" s="11">
        <v>2004</v>
      </c>
      <c r="K139" s="11" t="s">
        <v>18</v>
      </c>
      <c r="L139" s="11" t="s">
        <v>19</v>
      </c>
      <c r="M139" s="11">
        <v>20</v>
      </c>
      <c r="N139" s="12">
        <v>35</v>
      </c>
      <c r="O139" s="16">
        <f t="shared" si="16"/>
        <v>700</v>
      </c>
      <c r="P139" s="13"/>
    </row>
    <row r="140" ht="34.8" spans="4:16">
      <c r="D140" s="5">
        <v>101</v>
      </c>
      <c r="E140" s="5">
        <v>101</v>
      </c>
      <c r="F140" s="5" t="s">
        <v>292</v>
      </c>
      <c r="G140" s="5" t="s">
        <v>293</v>
      </c>
      <c r="H140" s="5" t="s">
        <v>151</v>
      </c>
      <c r="I140" s="11" t="s">
        <v>25</v>
      </c>
      <c r="J140" s="11">
        <v>2017</v>
      </c>
      <c r="K140" s="11" t="s">
        <v>18</v>
      </c>
      <c r="L140" s="11" t="s">
        <v>19</v>
      </c>
      <c r="M140" s="11">
        <v>20</v>
      </c>
      <c r="N140" s="12">
        <v>25</v>
      </c>
      <c r="O140" s="16">
        <f t="shared" si="16"/>
        <v>500</v>
      </c>
      <c r="P140" s="13"/>
    </row>
    <row r="141" ht="34.8" spans="4:16">
      <c r="D141" s="5">
        <v>102</v>
      </c>
      <c r="E141" s="5">
        <v>102</v>
      </c>
      <c r="F141" s="5" t="s">
        <v>294</v>
      </c>
      <c r="G141" s="5" t="s">
        <v>295</v>
      </c>
      <c r="H141" s="5" t="s">
        <v>154</v>
      </c>
      <c r="I141" s="11" t="s">
        <v>25</v>
      </c>
      <c r="J141" s="11">
        <v>2017</v>
      </c>
      <c r="K141" s="11" t="s">
        <v>18</v>
      </c>
      <c r="L141" s="11" t="s">
        <v>19</v>
      </c>
      <c r="M141" s="11">
        <v>20</v>
      </c>
      <c r="N141" s="12">
        <v>60</v>
      </c>
      <c r="O141" s="16">
        <f t="shared" si="16"/>
        <v>1200</v>
      </c>
      <c r="P141" s="13"/>
    </row>
    <row r="142" spans="4:16">
      <c r="D142" s="4" t="s">
        <v>2</v>
      </c>
      <c r="E142" s="4" t="s">
        <v>3</v>
      </c>
      <c r="F142" s="4" t="s">
        <v>4</v>
      </c>
      <c r="G142" s="4" t="s">
        <v>5</v>
      </c>
      <c r="H142" s="4" t="s">
        <v>6</v>
      </c>
      <c r="I142" s="9" t="s">
        <v>7</v>
      </c>
      <c r="J142" s="9" t="s">
        <v>8</v>
      </c>
      <c r="K142" s="9" t="s">
        <v>9</v>
      </c>
      <c r="L142" s="9" t="s">
        <v>10</v>
      </c>
      <c r="M142" s="9" t="s">
        <v>11</v>
      </c>
      <c r="N142" s="10" t="s">
        <v>12</v>
      </c>
      <c r="O142" s="10" t="s">
        <v>13</v>
      </c>
      <c r="P142" s="13"/>
    </row>
    <row r="143" spans="4:16">
      <c r="D143" s="4"/>
      <c r="E143" s="4"/>
      <c r="F143" s="4"/>
      <c r="G143" s="4"/>
      <c r="H143" s="4"/>
      <c r="I143" s="9"/>
      <c r="J143" s="9"/>
      <c r="K143" s="9"/>
      <c r="L143" s="9"/>
      <c r="M143" s="9"/>
      <c r="N143" s="10"/>
      <c r="O143" s="10"/>
      <c r="P143" s="13"/>
    </row>
    <row r="144" ht="34.8" spans="4:16">
      <c r="D144" s="5">
        <v>103</v>
      </c>
      <c r="E144" s="5">
        <v>103</v>
      </c>
      <c r="F144" s="5" t="s">
        <v>296</v>
      </c>
      <c r="G144" s="5" t="s">
        <v>297</v>
      </c>
      <c r="H144" s="5" t="s">
        <v>70</v>
      </c>
      <c r="I144" s="11" t="s">
        <v>25</v>
      </c>
      <c r="J144" s="11">
        <v>2017</v>
      </c>
      <c r="K144" s="11" t="s">
        <v>18</v>
      </c>
      <c r="L144" s="11" t="s">
        <v>19</v>
      </c>
      <c r="M144" s="11">
        <v>20</v>
      </c>
      <c r="N144" s="12">
        <v>40</v>
      </c>
      <c r="O144" s="16">
        <f t="shared" ref="O144:O149" si="17">N144*M144</f>
        <v>800</v>
      </c>
      <c r="P144" s="13"/>
    </row>
    <row r="145" ht="34.8" spans="4:16">
      <c r="D145" s="5">
        <v>104</v>
      </c>
      <c r="E145" s="5">
        <v>104</v>
      </c>
      <c r="F145" s="5" t="s">
        <v>298</v>
      </c>
      <c r="G145" s="5" t="s">
        <v>299</v>
      </c>
      <c r="H145" s="5" t="s">
        <v>73</v>
      </c>
      <c r="I145" s="11" t="s">
        <v>25</v>
      </c>
      <c r="J145" s="11">
        <v>2017</v>
      </c>
      <c r="K145" s="11" t="s">
        <v>18</v>
      </c>
      <c r="L145" s="11" t="s">
        <v>19</v>
      </c>
      <c r="M145" s="11">
        <v>20</v>
      </c>
      <c r="N145" s="12">
        <v>7</v>
      </c>
      <c r="O145" s="16">
        <f t="shared" si="17"/>
        <v>140</v>
      </c>
      <c r="P145" s="13"/>
    </row>
    <row r="146" ht="34.8" spans="4:16">
      <c r="D146" s="5">
        <v>105</v>
      </c>
      <c r="E146" s="5">
        <v>105</v>
      </c>
      <c r="F146" s="5" t="s">
        <v>300</v>
      </c>
      <c r="G146" s="5" t="s">
        <v>301</v>
      </c>
      <c r="H146" s="5" t="s">
        <v>226</v>
      </c>
      <c r="I146" s="11" t="s">
        <v>25</v>
      </c>
      <c r="J146" s="11">
        <v>2017</v>
      </c>
      <c r="K146" s="11" t="s">
        <v>18</v>
      </c>
      <c r="L146" s="11" t="s">
        <v>19</v>
      </c>
      <c r="M146" s="11">
        <v>20</v>
      </c>
      <c r="N146" s="12">
        <v>110</v>
      </c>
      <c r="O146" s="16">
        <f t="shared" si="17"/>
        <v>2200</v>
      </c>
      <c r="P146" s="13"/>
    </row>
    <row r="147" ht="34.8" spans="4:16">
      <c r="D147" s="5">
        <v>106</v>
      </c>
      <c r="E147" s="5">
        <v>106</v>
      </c>
      <c r="F147" s="5" t="s">
        <v>302</v>
      </c>
      <c r="G147" s="5" t="s">
        <v>303</v>
      </c>
      <c r="H147" s="5" t="s">
        <v>164</v>
      </c>
      <c r="I147" s="11" t="s">
        <v>25</v>
      </c>
      <c r="J147" s="11">
        <v>2041</v>
      </c>
      <c r="K147" s="11" t="s">
        <v>18</v>
      </c>
      <c r="L147" s="11" t="s">
        <v>19</v>
      </c>
      <c r="M147" s="11">
        <v>20</v>
      </c>
      <c r="N147" s="12">
        <v>50</v>
      </c>
      <c r="O147" s="16">
        <f t="shared" si="17"/>
        <v>1000</v>
      </c>
      <c r="P147" s="13"/>
    </row>
    <row r="148" ht="34.8" spans="4:16">
      <c r="D148" s="5">
        <v>107</v>
      </c>
      <c r="E148" s="5">
        <v>107</v>
      </c>
      <c r="F148" s="5" t="s">
        <v>304</v>
      </c>
      <c r="G148" s="5" t="s">
        <v>305</v>
      </c>
      <c r="H148" s="5" t="s">
        <v>167</v>
      </c>
      <c r="I148" s="11" t="s">
        <v>25</v>
      </c>
      <c r="J148" s="11">
        <v>2031</v>
      </c>
      <c r="K148" s="11" t="s">
        <v>18</v>
      </c>
      <c r="L148" s="11" t="s">
        <v>33</v>
      </c>
      <c r="M148" s="11">
        <v>1</v>
      </c>
      <c r="N148" s="12">
        <v>3150</v>
      </c>
      <c r="O148" s="16">
        <f t="shared" si="17"/>
        <v>3150</v>
      </c>
      <c r="P148" s="13"/>
    </row>
    <row r="149" ht="52.2" spans="4:16">
      <c r="D149" s="5">
        <v>108</v>
      </c>
      <c r="E149" s="5">
        <v>108</v>
      </c>
      <c r="F149" s="5" t="s">
        <v>306</v>
      </c>
      <c r="G149" s="5" t="s">
        <v>307</v>
      </c>
      <c r="H149" s="5" t="s">
        <v>170</v>
      </c>
      <c r="I149" s="11" t="s">
        <v>25</v>
      </c>
      <c r="J149" s="11">
        <v>2031</v>
      </c>
      <c r="K149" s="11" t="s">
        <v>18</v>
      </c>
      <c r="L149" s="11" t="s">
        <v>33</v>
      </c>
      <c r="M149" s="11">
        <v>1</v>
      </c>
      <c r="N149" s="12">
        <v>2380</v>
      </c>
      <c r="O149" s="16">
        <f t="shared" si="17"/>
        <v>2380</v>
      </c>
      <c r="P149" s="13"/>
    </row>
    <row r="150" spans="4:16">
      <c r="D150" s="4" t="s">
        <v>2</v>
      </c>
      <c r="E150" s="4" t="s">
        <v>3</v>
      </c>
      <c r="F150" s="4" t="s">
        <v>4</v>
      </c>
      <c r="G150" s="4" t="s">
        <v>5</v>
      </c>
      <c r="H150" s="4" t="s">
        <v>6</v>
      </c>
      <c r="I150" s="9" t="s">
        <v>7</v>
      </c>
      <c r="J150" s="9" t="s">
        <v>8</v>
      </c>
      <c r="K150" s="9" t="s">
        <v>9</v>
      </c>
      <c r="L150" s="9" t="s">
        <v>10</v>
      </c>
      <c r="M150" s="9" t="s">
        <v>11</v>
      </c>
      <c r="N150" s="10" t="s">
        <v>12</v>
      </c>
      <c r="O150" s="10" t="s">
        <v>13</v>
      </c>
      <c r="P150" s="13"/>
    </row>
    <row r="151" spans="4:16">
      <c r="D151" s="4"/>
      <c r="E151" s="4"/>
      <c r="F151" s="4"/>
      <c r="G151" s="4"/>
      <c r="H151" s="4"/>
      <c r="I151" s="9"/>
      <c r="J151" s="9"/>
      <c r="K151" s="9"/>
      <c r="L151" s="9"/>
      <c r="M151" s="9"/>
      <c r="N151" s="10"/>
      <c r="O151" s="10"/>
      <c r="P151" s="13"/>
    </row>
    <row r="152" ht="52.2" spans="4:16">
      <c r="D152" s="5">
        <v>109</v>
      </c>
      <c r="E152" s="5">
        <v>109</v>
      </c>
      <c r="F152" s="5" t="s">
        <v>308</v>
      </c>
      <c r="G152" s="5" t="s">
        <v>309</v>
      </c>
      <c r="H152" s="5" t="s">
        <v>173</v>
      </c>
      <c r="I152" s="11" t="s">
        <v>25</v>
      </c>
      <c r="J152" s="11">
        <v>2036</v>
      </c>
      <c r="K152" s="11" t="s">
        <v>18</v>
      </c>
      <c r="L152" s="11" t="s">
        <v>33</v>
      </c>
      <c r="M152" s="11">
        <v>2</v>
      </c>
      <c r="N152" s="12">
        <v>1900</v>
      </c>
      <c r="O152" s="16">
        <f t="shared" ref="O152:O157" si="18">N152*M152</f>
        <v>3800</v>
      </c>
      <c r="P152" s="13"/>
    </row>
    <row r="153" ht="34.8" spans="4:16">
      <c r="D153" s="5">
        <v>110</v>
      </c>
      <c r="E153" s="5">
        <v>110</v>
      </c>
      <c r="F153" s="5" t="s">
        <v>310</v>
      </c>
      <c r="G153" s="5" t="s">
        <v>311</v>
      </c>
      <c r="H153" s="5" t="s">
        <v>312</v>
      </c>
      <c r="I153" s="11" t="s">
        <v>25</v>
      </c>
      <c r="J153" s="11">
        <v>2048</v>
      </c>
      <c r="K153" s="11" t="s">
        <v>18</v>
      </c>
      <c r="L153" s="11" t="s">
        <v>19</v>
      </c>
      <c r="M153" s="11">
        <v>1950</v>
      </c>
      <c r="N153" s="12">
        <v>70</v>
      </c>
      <c r="O153" s="16">
        <f t="shared" si="18"/>
        <v>136500</v>
      </c>
      <c r="P153" s="13"/>
    </row>
    <row r="154" ht="34.8" spans="4:16">
      <c r="D154" s="5">
        <v>111</v>
      </c>
      <c r="E154" s="5">
        <v>111</v>
      </c>
      <c r="F154" s="5" t="s">
        <v>313</v>
      </c>
      <c r="G154" s="5" t="s">
        <v>314</v>
      </c>
      <c r="H154" s="5" t="s">
        <v>315</v>
      </c>
      <c r="I154" s="11" t="s">
        <v>25</v>
      </c>
      <c r="J154" s="11">
        <v>2007</v>
      </c>
      <c r="K154" s="11" t="s">
        <v>18</v>
      </c>
      <c r="L154" s="11" t="s">
        <v>19</v>
      </c>
      <c r="M154" s="11">
        <v>1180</v>
      </c>
      <c r="N154" s="12">
        <v>105</v>
      </c>
      <c r="O154" s="16">
        <f t="shared" si="18"/>
        <v>123900</v>
      </c>
      <c r="P154" s="13"/>
    </row>
    <row r="155" ht="52.2" spans="4:16">
      <c r="D155" s="5">
        <v>112</v>
      </c>
      <c r="E155" s="5">
        <v>112</v>
      </c>
      <c r="F155" s="5" t="s">
        <v>316</v>
      </c>
      <c r="G155" s="5" t="s">
        <v>317</v>
      </c>
      <c r="H155" s="5" t="s">
        <v>318</v>
      </c>
      <c r="I155" s="11" t="s">
        <v>25</v>
      </c>
      <c r="J155" s="11">
        <v>2048</v>
      </c>
      <c r="K155" s="11" t="s">
        <v>18</v>
      </c>
      <c r="L155" s="11" t="s">
        <v>19</v>
      </c>
      <c r="M155" s="11">
        <v>4720</v>
      </c>
      <c r="N155" s="12">
        <v>80</v>
      </c>
      <c r="O155" s="16">
        <f t="shared" si="18"/>
        <v>377600</v>
      </c>
      <c r="P155" s="13"/>
    </row>
    <row r="156" ht="34.8" spans="4:16">
      <c r="D156" s="5">
        <v>113</v>
      </c>
      <c r="E156" s="5">
        <v>113</v>
      </c>
      <c r="F156" s="5" t="s">
        <v>319</v>
      </c>
      <c r="G156" s="5" t="s">
        <v>320</v>
      </c>
      <c r="H156" s="5" t="s">
        <v>321</v>
      </c>
      <c r="I156" s="11" t="s">
        <v>25</v>
      </c>
      <c r="J156" s="11">
        <v>2048</v>
      </c>
      <c r="K156" s="11" t="s">
        <v>18</v>
      </c>
      <c r="L156" s="11" t="s">
        <v>19</v>
      </c>
      <c r="M156" s="11">
        <v>1950</v>
      </c>
      <c r="N156" s="12">
        <v>70</v>
      </c>
      <c r="O156" s="16">
        <f t="shared" si="18"/>
        <v>136500</v>
      </c>
      <c r="P156" s="13"/>
    </row>
    <row r="157" ht="34.8" spans="4:16">
      <c r="D157" s="5">
        <v>114</v>
      </c>
      <c r="E157" s="5">
        <v>114</v>
      </c>
      <c r="F157" s="5" t="s">
        <v>322</v>
      </c>
      <c r="G157" s="5" t="s">
        <v>323</v>
      </c>
      <c r="H157" s="5" t="s">
        <v>324</v>
      </c>
      <c r="I157" s="11" t="s">
        <v>25</v>
      </c>
      <c r="J157" s="11">
        <v>2031</v>
      </c>
      <c r="K157" s="11" t="s">
        <v>18</v>
      </c>
      <c r="L157" s="11" t="s">
        <v>33</v>
      </c>
      <c r="M157" s="11">
        <v>6</v>
      </c>
      <c r="N157" s="12">
        <v>3500</v>
      </c>
      <c r="O157" s="16">
        <f t="shared" si="18"/>
        <v>21000</v>
      </c>
      <c r="P157" s="13"/>
    </row>
    <row r="158" spans="4:16">
      <c r="D158" s="4" t="s">
        <v>2</v>
      </c>
      <c r="E158" s="4" t="s">
        <v>3</v>
      </c>
      <c r="F158" s="4" t="s">
        <v>4</v>
      </c>
      <c r="G158" s="4" t="s">
        <v>5</v>
      </c>
      <c r="H158" s="4" t="s">
        <v>6</v>
      </c>
      <c r="I158" s="9" t="s">
        <v>7</v>
      </c>
      <c r="J158" s="9" t="s">
        <v>8</v>
      </c>
      <c r="K158" s="9" t="s">
        <v>9</v>
      </c>
      <c r="L158" s="9" t="s">
        <v>10</v>
      </c>
      <c r="M158" s="9" t="s">
        <v>11</v>
      </c>
      <c r="N158" s="10" t="s">
        <v>12</v>
      </c>
      <c r="O158" s="10" t="s">
        <v>13</v>
      </c>
      <c r="P158" s="13"/>
    </row>
    <row r="159" spans="4:16">
      <c r="D159" s="4"/>
      <c r="E159" s="4"/>
      <c r="F159" s="4"/>
      <c r="G159" s="4"/>
      <c r="H159" s="4"/>
      <c r="I159" s="9"/>
      <c r="J159" s="9"/>
      <c r="K159" s="9"/>
      <c r="L159" s="9"/>
      <c r="M159" s="9"/>
      <c r="N159" s="10"/>
      <c r="O159" s="10"/>
      <c r="P159" s="13"/>
    </row>
    <row r="160" ht="34.8" spans="4:16">
      <c r="D160" s="5">
        <v>115</v>
      </c>
      <c r="E160" s="5">
        <v>115</v>
      </c>
      <c r="F160" s="5" t="s">
        <v>325</v>
      </c>
      <c r="G160" s="5" t="s">
        <v>326</v>
      </c>
      <c r="H160" s="5" t="s">
        <v>327</v>
      </c>
      <c r="I160" s="11" t="s">
        <v>17</v>
      </c>
      <c r="J160" s="11"/>
      <c r="K160" s="11" t="s">
        <v>18</v>
      </c>
      <c r="L160" s="11" t="s">
        <v>19</v>
      </c>
      <c r="M160" s="11">
        <v>45</v>
      </c>
      <c r="N160" s="12">
        <v>2100</v>
      </c>
      <c r="O160" s="16">
        <f t="shared" ref="O160:O165" si="19">N160*M160</f>
        <v>94500</v>
      </c>
      <c r="P160" s="13"/>
    </row>
    <row r="161" ht="52.2" spans="4:16">
      <c r="D161" s="5">
        <v>116</v>
      </c>
      <c r="E161" s="5">
        <v>116</v>
      </c>
      <c r="F161" s="5" t="s">
        <v>328</v>
      </c>
      <c r="G161" s="5" t="s">
        <v>329</v>
      </c>
      <c r="H161" s="5" t="s">
        <v>330</v>
      </c>
      <c r="I161" s="11" t="s">
        <v>25</v>
      </c>
      <c r="J161" s="11">
        <v>2011</v>
      </c>
      <c r="K161" s="11" t="s">
        <v>18</v>
      </c>
      <c r="L161" s="11" t="s">
        <v>33</v>
      </c>
      <c r="M161" s="11">
        <v>22</v>
      </c>
      <c r="N161" s="12">
        <v>42000</v>
      </c>
      <c r="O161" s="16">
        <f t="shared" si="19"/>
        <v>924000</v>
      </c>
      <c r="P161" s="13"/>
    </row>
    <row r="162" ht="34.8" spans="4:16">
      <c r="D162" s="5">
        <v>117</v>
      </c>
      <c r="E162" s="5">
        <v>117</v>
      </c>
      <c r="F162" s="5" t="s">
        <v>331</v>
      </c>
      <c r="G162" s="5" t="s">
        <v>332</v>
      </c>
      <c r="H162" s="5" t="s">
        <v>333</v>
      </c>
      <c r="I162" s="11" t="s">
        <v>17</v>
      </c>
      <c r="J162" s="11"/>
      <c r="K162" s="11" t="s">
        <v>18</v>
      </c>
      <c r="L162" s="11" t="s">
        <v>334</v>
      </c>
      <c r="M162" s="11">
        <v>270</v>
      </c>
      <c r="N162" s="12">
        <v>50</v>
      </c>
      <c r="O162" s="16">
        <f t="shared" si="19"/>
        <v>13500</v>
      </c>
      <c r="P162" s="13"/>
    </row>
    <row r="163" spans="4:16">
      <c r="D163" s="5">
        <v>118</v>
      </c>
      <c r="E163" s="5">
        <v>118</v>
      </c>
      <c r="F163" s="5" t="s">
        <v>335</v>
      </c>
      <c r="G163" s="5" t="s">
        <v>336</v>
      </c>
      <c r="H163" s="5" t="s">
        <v>337</v>
      </c>
      <c r="I163" s="11" t="s">
        <v>17</v>
      </c>
      <c r="J163" s="11"/>
      <c r="K163" s="11" t="s">
        <v>18</v>
      </c>
      <c r="L163" s="11" t="s">
        <v>334</v>
      </c>
      <c r="M163" s="11">
        <v>210</v>
      </c>
      <c r="N163" s="12">
        <v>60</v>
      </c>
      <c r="O163" s="16">
        <f t="shared" si="19"/>
        <v>12600</v>
      </c>
      <c r="P163" s="13"/>
    </row>
    <row r="164" spans="4:16">
      <c r="D164" s="5">
        <v>119</v>
      </c>
      <c r="E164" s="5">
        <v>119</v>
      </c>
      <c r="F164" s="5" t="s">
        <v>338</v>
      </c>
      <c r="G164" s="5" t="s">
        <v>339</v>
      </c>
      <c r="H164" s="5" t="s">
        <v>340</v>
      </c>
      <c r="I164" s="11" t="s">
        <v>25</v>
      </c>
      <c r="J164" s="11">
        <v>2004</v>
      </c>
      <c r="K164" s="11" t="s">
        <v>18</v>
      </c>
      <c r="L164" s="11" t="s">
        <v>19</v>
      </c>
      <c r="M164" s="11">
        <v>54</v>
      </c>
      <c r="N164" s="12">
        <v>300</v>
      </c>
      <c r="O164" s="16">
        <f t="shared" si="19"/>
        <v>16200</v>
      </c>
      <c r="P164" s="13"/>
    </row>
    <row r="165" ht="34.8" spans="4:16">
      <c r="D165" s="5">
        <v>120</v>
      </c>
      <c r="E165" s="5">
        <v>120</v>
      </c>
      <c r="F165" s="5" t="s">
        <v>341</v>
      </c>
      <c r="G165" s="5" t="s">
        <v>342</v>
      </c>
      <c r="H165" s="5" t="s">
        <v>343</v>
      </c>
      <c r="I165" s="11" t="s">
        <v>25</v>
      </c>
      <c r="J165" s="11">
        <v>2004</v>
      </c>
      <c r="K165" s="11" t="s">
        <v>18</v>
      </c>
      <c r="L165" s="11" t="s">
        <v>334</v>
      </c>
      <c r="M165" s="11">
        <v>27</v>
      </c>
      <c r="N165" s="12">
        <v>1300</v>
      </c>
      <c r="O165" s="16">
        <f t="shared" si="19"/>
        <v>35100</v>
      </c>
      <c r="P165" s="13"/>
    </row>
    <row r="166" spans="4:16">
      <c r="D166" s="4" t="s">
        <v>2</v>
      </c>
      <c r="E166" s="4" t="s">
        <v>3</v>
      </c>
      <c r="F166" s="4" t="s">
        <v>4</v>
      </c>
      <c r="G166" s="4" t="s">
        <v>5</v>
      </c>
      <c r="H166" s="4" t="s">
        <v>6</v>
      </c>
      <c r="I166" s="9" t="s">
        <v>7</v>
      </c>
      <c r="J166" s="9" t="s">
        <v>8</v>
      </c>
      <c r="K166" s="9" t="s">
        <v>9</v>
      </c>
      <c r="L166" s="9" t="s">
        <v>10</v>
      </c>
      <c r="M166" s="9" t="s">
        <v>11</v>
      </c>
      <c r="N166" s="10" t="s">
        <v>12</v>
      </c>
      <c r="O166" s="10" t="s">
        <v>13</v>
      </c>
      <c r="P166" s="13"/>
    </row>
    <row r="167" spans="4:16">
      <c r="D167" s="4"/>
      <c r="E167" s="4"/>
      <c r="F167" s="4"/>
      <c r="G167" s="4"/>
      <c r="H167" s="4"/>
      <c r="I167" s="9"/>
      <c r="J167" s="9"/>
      <c r="K167" s="9"/>
      <c r="L167" s="9"/>
      <c r="M167" s="9"/>
      <c r="N167" s="10"/>
      <c r="O167" s="10"/>
      <c r="P167" s="13"/>
    </row>
    <row r="168" ht="34.8" spans="4:16">
      <c r="D168" s="5">
        <v>121</v>
      </c>
      <c r="E168" s="5">
        <v>121</v>
      </c>
      <c r="F168" s="5" t="s">
        <v>344</v>
      </c>
      <c r="G168" s="5" t="s">
        <v>345</v>
      </c>
      <c r="H168" s="5" t="s">
        <v>346</v>
      </c>
      <c r="I168" s="11" t="s">
        <v>25</v>
      </c>
      <c r="J168" s="11">
        <v>2004</v>
      </c>
      <c r="K168" s="11" t="s">
        <v>18</v>
      </c>
      <c r="L168" s="11" t="s">
        <v>334</v>
      </c>
      <c r="M168" s="11">
        <v>9</v>
      </c>
      <c r="N168" s="12">
        <v>1300</v>
      </c>
      <c r="O168" s="16">
        <f t="shared" ref="O168:O173" si="20">N168*M168</f>
        <v>11700</v>
      </c>
      <c r="P168" s="13"/>
    </row>
    <row r="169" ht="34.8" spans="4:16">
      <c r="D169" s="5">
        <v>122</v>
      </c>
      <c r="E169" s="5">
        <v>122</v>
      </c>
      <c r="F169" s="5" t="s">
        <v>347</v>
      </c>
      <c r="G169" s="5" t="s">
        <v>348</v>
      </c>
      <c r="H169" s="5" t="s">
        <v>349</v>
      </c>
      <c r="I169" s="11" t="s">
        <v>25</v>
      </c>
      <c r="J169" s="11">
        <v>2004</v>
      </c>
      <c r="K169" s="11" t="s">
        <v>18</v>
      </c>
      <c r="L169" s="11" t="s">
        <v>334</v>
      </c>
      <c r="M169" s="11">
        <v>1</v>
      </c>
      <c r="N169" s="12">
        <v>1300</v>
      </c>
      <c r="O169" s="16">
        <f t="shared" si="20"/>
        <v>1300</v>
      </c>
      <c r="P169" s="13"/>
    </row>
    <row r="170" spans="4:16">
      <c r="D170" s="5">
        <v>123</v>
      </c>
      <c r="E170" s="5">
        <v>123</v>
      </c>
      <c r="F170" s="5" t="s">
        <v>350</v>
      </c>
      <c r="G170" s="5" t="s">
        <v>351</v>
      </c>
      <c r="H170" s="5" t="s">
        <v>352</v>
      </c>
      <c r="I170" s="11" t="s">
        <v>25</v>
      </c>
      <c r="J170" s="11">
        <v>2041</v>
      </c>
      <c r="K170" s="11" t="s">
        <v>18</v>
      </c>
      <c r="L170" s="11" t="s">
        <v>19</v>
      </c>
      <c r="M170" s="11">
        <v>110</v>
      </c>
      <c r="N170" s="12">
        <v>400</v>
      </c>
      <c r="O170" s="16">
        <f t="shared" si="20"/>
        <v>44000</v>
      </c>
      <c r="P170" s="13"/>
    </row>
    <row r="171" ht="34.8" spans="4:16">
      <c r="D171" s="5">
        <v>124</v>
      </c>
      <c r="E171" s="5">
        <v>124</v>
      </c>
      <c r="F171" s="5" t="s">
        <v>353</v>
      </c>
      <c r="G171" s="5" t="s">
        <v>354</v>
      </c>
      <c r="H171" s="5" t="s">
        <v>355</v>
      </c>
      <c r="I171" s="11" t="s">
        <v>25</v>
      </c>
      <c r="J171" s="11">
        <v>2004</v>
      </c>
      <c r="K171" s="11" t="s">
        <v>18</v>
      </c>
      <c r="L171" s="11" t="s">
        <v>334</v>
      </c>
      <c r="M171" s="11">
        <v>36</v>
      </c>
      <c r="N171" s="12">
        <v>1300</v>
      </c>
      <c r="O171" s="16">
        <f t="shared" si="20"/>
        <v>46800</v>
      </c>
      <c r="P171" s="13"/>
    </row>
    <row r="172" ht="34.8" spans="4:16">
      <c r="D172" s="5">
        <v>125</v>
      </c>
      <c r="E172" s="5">
        <v>125</v>
      </c>
      <c r="F172" s="5" t="s">
        <v>356</v>
      </c>
      <c r="G172" s="5" t="s">
        <v>357</v>
      </c>
      <c r="H172" s="5" t="s">
        <v>358</v>
      </c>
      <c r="I172" s="11" t="s">
        <v>25</v>
      </c>
      <c r="J172" s="11">
        <v>2004</v>
      </c>
      <c r="K172" s="11" t="s">
        <v>18</v>
      </c>
      <c r="L172" s="11" t="s">
        <v>334</v>
      </c>
      <c r="M172" s="11">
        <v>8</v>
      </c>
      <c r="N172" s="12">
        <v>1300</v>
      </c>
      <c r="O172" s="16">
        <f t="shared" si="20"/>
        <v>10400</v>
      </c>
      <c r="P172" s="13"/>
    </row>
    <row r="173" ht="34.8" spans="4:16">
      <c r="D173" s="5">
        <v>126</v>
      </c>
      <c r="E173" s="5">
        <v>126</v>
      </c>
      <c r="F173" s="5" t="s">
        <v>359</v>
      </c>
      <c r="G173" s="5" t="s">
        <v>360</v>
      </c>
      <c r="H173" s="5" t="s">
        <v>361</v>
      </c>
      <c r="I173" s="11" t="s">
        <v>25</v>
      </c>
      <c r="J173" s="11">
        <v>2004</v>
      </c>
      <c r="K173" s="11" t="s">
        <v>18</v>
      </c>
      <c r="L173" s="11" t="s">
        <v>334</v>
      </c>
      <c r="M173" s="11">
        <v>11</v>
      </c>
      <c r="N173" s="12">
        <v>1300</v>
      </c>
      <c r="O173" s="16">
        <f t="shared" si="20"/>
        <v>14300</v>
      </c>
      <c r="P173" s="13"/>
    </row>
    <row r="174" spans="4:16">
      <c r="D174" s="4" t="s">
        <v>2</v>
      </c>
      <c r="E174" s="4" t="s">
        <v>3</v>
      </c>
      <c r="F174" s="4" t="s">
        <v>4</v>
      </c>
      <c r="G174" s="4" t="s">
        <v>5</v>
      </c>
      <c r="H174" s="4" t="s">
        <v>6</v>
      </c>
      <c r="I174" s="9" t="s">
        <v>7</v>
      </c>
      <c r="J174" s="9" t="s">
        <v>8</v>
      </c>
      <c r="K174" s="9" t="s">
        <v>9</v>
      </c>
      <c r="L174" s="9" t="s">
        <v>10</v>
      </c>
      <c r="M174" s="9" t="s">
        <v>11</v>
      </c>
      <c r="N174" s="10" t="s">
        <v>12</v>
      </c>
      <c r="O174" s="10" t="s">
        <v>13</v>
      </c>
      <c r="P174" s="13"/>
    </row>
    <row r="175" spans="4:16">
      <c r="D175" s="4"/>
      <c r="E175" s="4"/>
      <c r="F175" s="4"/>
      <c r="G175" s="4"/>
      <c r="H175" s="4"/>
      <c r="I175" s="9"/>
      <c r="J175" s="9"/>
      <c r="K175" s="9"/>
      <c r="L175" s="9"/>
      <c r="M175" s="9"/>
      <c r="N175" s="10"/>
      <c r="O175" s="10"/>
      <c r="P175" s="13"/>
    </row>
    <row r="176" ht="34.8" spans="4:16">
      <c r="D176" s="5">
        <v>127</v>
      </c>
      <c r="E176" s="5">
        <v>127</v>
      </c>
      <c r="F176" s="5" t="s">
        <v>362</v>
      </c>
      <c r="G176" s="5" t="s">
        <v>363</v>
      </c>
      <c r="H176" s="5" t="s">
        <v>364</v>
      </c>
      <c r="I176" s="11" t="s">
        <v>25</v>
      </c>
      <c r="J176" s="11">
        <v>2004</v>
      </c>
      <c r="K176" s="11" t="s">
        <v>18</v>
      </c>
      <c r="L176" s="11" t="s">
        <v>334</v>
      </c>
      <c r="M176" s="11">
        <v>7</v>
      </c>
      <c r="N176" s="12">
        <v>1300</v>
      </c>
      <c r="O176" s="16">
        <f t="shared" ref="O176:O181" si="21">N176*M176</f>
        <v>9100</v>
      </c>
      <c r="P176" s="13"/>
    </row>
    <row r="177" spans="4:16">
      <c r="D177" s="5">
        <v>128</v>
      </c>
      <c r="E177" s="5">
        <v>128</v>
      </c>
      <c r="F177" s="5" t="s">
        <v>365</v>
      </c>
      <c r="G177" s="5" t="s">
        <v>366</v>
      </c>
      <c r="H177" s="5" t="s">
        <v>367</v>
      </c>
      <c r="I177" s="11" t="s">
        <v>25</v>
      </c>
      <c r="J177" s="11">
        <v>2017</v>
      </c>
      <c r="K177" s="11" t="s">
        <v>18</v>
      </c>
      <c r="L177" s="11" t="s">
        <v>19</v>
      </c>
      <c r="M177" s="11">
        <v>110</v>
      </c>
      <c r="N177" s="12">
        <v>40</v>
      </c>
      <c r="O177" s="16">
        <f t="shared" si="21"/>
        <v>4400</v>
      </c>
      <c r="P177" s="13"/>
    </row>
    <row r="178" spans="4:16">
      <c r="D178" s="5">
        <v>129</v>
      </c>
      <c r="E178" s="5">
        <v>129</v>
      </c>
      <c r="F178" s="5" t="s">
        <v>368</v>
      </c>
      <c r="G178" s="5" t="s">
        <v>369</v>
      </c>
      <c r="H178" s="5" t="s">
        <v>370</v>
      </c>
      <c r="I178" s="11" t="s">
        <v>25</v>
      </c>
      <c r="J178" s="11">
        <v>2017</v>
      </c>
      <c r="K178" s="11" t="s">
        <v>18</v>
      </c>
      <c r="L178" s="11" t="s">
        <v>19</v>
      </c>
      <c r="M178" s="11">
        <v>110</v>
      </c>
      <c r="N178" s="12">
        <v>60</v>
      </c>
      <c r="O178" s="16">
        <f t="shared" si="21"/>
        <v>6600</v>
      </c>
      <c r="P178" s="13"/>
    </row>
    <row r="179" spans="4:16">
      <c r="D179" s="5">
        <v>130</v>
      </c>
      <c r="E179" s="5">
        <v>130</v>
      </c>
      <c r="F179" s="5" t="s">
        <v>371</v>
      </c>
      <c r="G179" s="5" t="s">
        <v>372</v>
      </c>
      <c r="H179" s="5" t="s">
        <v>373</v>
      </c>
      <c r="I179" s="11" t="s">
        <v>25</v>
      </c>
      <c r="J179" s="11">
        <v>2017</v>
      </c>
      <c r="K179" s="11" t="s">
        <v>18</v>
      </c>
      <c r="L179" s="11" t="s">
        <v>19</v>
      </c>
      <c r="M179" s="11">
        <v>100</v>
      </c>
      <c r="N179" s="12">
        <v>25</v>
      </c>
      <c r="O179" s="16">
        <f t="shared" si="21"/>
        <v>2500</v>
      </c>
      <c r="P179" s="13"/>
    </row>
    <row r="180" ht="34.8" spans="4:16">
      <c r="D180" s="5">
        <v>131</v>
      </c>
      <c r="E180" s="5">
        <v>131</v>
      </c>
      <c r="F180" s="5" t="s">
        <v>374</v>
      </c>
      <c r="G180" s="5" t="s">
        <v>375</v>
      </c>
      <c r="H180" s="5" t="s">
        <v>333</v>
      </c>
      <c r="I180" s="11" t="s">
        <v>17</v>
      </c>
      <c r="J180" s="11"/>
      <c r="K180" s="11" t="s">
        <v>18</v>
      </c>
      <c r="L180" s="11" t="s">
        <v>334</v>
      </c>
      <c r="M180" s="11">
        <v>140</v>
      </c>
      <c r="N180" s="12">
        <v>50</v>
      </c>
      <c r="O180" s="16">
        <f t="shared" si="21"/>
        <v>7000</v>
      </c>
      <c r="P180" s="13"/>
    </row>
    <row r="181" spans="4:16">
      <c r="D181" s="5">
        <v>132</v>
      </c>
      <c r="E181" s="5">
        <v>132</v>
      </c>
      <c r="F181" s="5" t="s">
        <v>376</v>
      </c>
      <c r="G181" s="5" t="s">
        <v>377</v>
      </c>
      <c r="H181" s="5" t="s">
        <v>337</v>
      </c>
      <c r="I181" s="11" t="s">
        <v>17</v>
      </c>
      <c r="J181" s="11"/>
      <c r="K181" s="11" t="s">
        <v>18</v>
      </c>
      <c r="L181" s="11" t="s">
        <v>334</v>
      </c>
      <c r="M181" s="11">
        <v>70</v>
      </c>
      <c r="N181" s="12">
        <v>60</v>
      </c>
      <c r="O181" s="16">
        <f t="shared" si="21"/>
        <v>4200</v>
      </c>
      <c r="P181" s="13"/>
    </row>
    <row r="182" spans="4:16">
      <c r="D182" s="4" t="s">
        <v>37</v>
      </c>
      <c r="E182" s="4" t="s">
        <v>3</v>
      </c>
      <c r="F182" s="4" t="s">
        <v>4</v>
      </c>
      <c r="G182" s="4" t="s">
        <v>5</v>
      </c>
      <c r="H182" s="4" t="s">
        <v>6</v>
      </c>
      <c r="I182" s="9" t="s">
        <v>7</v>
      </c>
      <c r="J182" s="9" t="s">
        <v>8</v>
      </c>
      <c r="K182" s="9" t="s">
        <v>9</v>
      </c>
      <c r="L182" s="9" t="s">
        <v>10</v>
      </c>
      <c r="M182" s="9" t="s">
        <v>11</v>
      </c>
      <c r="N182" s="10" t="s">
        <v>12</v>
      </c>
      <c r="O182" s="10" t="s">
        <v>13</v>
      </c>
      <c r="P182" s="13"/>
    </row>
    <row r="183" spans="4:16">
      <c r="D183" s="4"/>
      <c r="E183" s="4"/>
      <c r="F183" s="4"/>
      <c r="G183" s="4"/>
      <c r="H183" s="4"/>
      <c r="I183" s="9"/>
      <c r="J183" s="9"/>
      <c r="K183" s="9"/>
      <c r="L183" s="9"/>
      <c r="M183" s="9"/>
      <c r="N183" s="10"/>
      <c r="O183" s="10"/>
      <c r="P183" s="13"/>
    </row>
    <row r="184" spans="4:16">
      <c r="D184" s="5">
        <v>133</v>
      </c>
      <c r="E184" s="5">
        <v>133</v>
      </c>
      <c r="F184" s="5" t="s">
        <v>378</v>
      </c>
      <c r="G184" s="5" t="s">
        <v>379</v>
      </c>
      <c r="H184" s="5" t="s">
        <v>340</v>
      </c>
      <c r="I184" s="11" t="s">
        <v>25</v>
      </c>
      <c r="J184" s="11">
        <v>2004</v>
      </c>
      <c r="K184" s="11" t="s">
        <v>18</v>
      </c>
      <c r="L184" s="11" t="s">
        <v>19</v>
      </c>
      <c r="M184" s="11">
        <v>125</v>
      </c>
      <c r="N184" s="12">
        <v>300</v>
      </c>
      <c r="O184" s="16">
        <f t="shared" ref="O184:O189" si="22">N184*M184</f>
        <v>37500</v>
      </c>
      <c r="P184" s="13"/>
    </row>
    <row r="185" ht="34.8" spans="4:16">
      <c r="D185" s="5">
        <v>134</v>
      </c>
      <c r="E185" s="5">
        <v>134</v>
      </c>
      <c r="F185" s="5" t="s">
        <v>380</v>
      </c>
      <c r="G185" s="5" t="s">
        <v>381</v>
      </c>
      <c r="H185" s="5" t="s">
        <v>343</v>
      </c>
      <c r="I185" s="11" t="s">
        <v>25</v>
      </c>
      <c r="J185" s="11">
        <v>2004</v>
      </c>
      <c r="K185" s="11" t="s">
        <v>18</v>
      </c>
      <c r="L185" s="11" t="s">
        <v>334</v>
      </c>
      <c r="M185" s="11">
        <v>65</v>
      </c>
      <c r="N185" s="12">
        <v>1300</v>
      </c>
      <c r="O185" s="16">
        <f t="shared" si="22"/>
        <v>84500</v>
      </c>
      <c r="P185" s="13"/>
    </row>
    <row r="186" ht="34.8" spans="4:16">
      <c r="D186" s="5">
        <v>135</v>
      </c>
      <c r="E186" s="5">
        <v>135</v>
      </c>
      <c r="F186" s="5" t="s">
        <v>382</v>
      </c>
      <c r="G186" s="5" t="s">
        <v>383</v>
      </c>
      <c r="H186" s="5" t="s">
        <v>346</v>
      </c>
      <c r="I186" s="11" t="s">
        <v>25</v>
      </c>
      <c r="J186" s="11">
        <v>2004</v>
      </c>
      <c r="K186" s="11" t="s">
        <v>18</v>
      </c>
      <c r="L186" s="11" t="s">
        <v>334</v>
      </c>
      <c r="M186" s="11">
        <v>11</v>
      </c>
      <c r="N186" s="12">
        <v>1300</v>
      </c>
      <c r="O186" s="16">
        <f t="shared" si="22"/>
        <v>14300</v>
      </c>
      <c r="P186" s="13"/>
    </row>
    <row r="187" ht="34.8" spans="4:16">
      <c r="D187" s="5">
        <v>136</v>
      </c>
      <c r="E187" s="5">
        <v>136</v>
      </c>
      <c r="F187" s="5" t="s">
        <v>384</v>
      </c>
      <c r="G187" s="5" t="s">
        <v>385</v>
      </c>
      <c r="H187" s="5" t="s">
        <v>349</v>
      </c>
      <c r="I187" s="11" t="s">
        <v>25</v>
      </c>
      <c r="J187" s="11">
        <v>2004</v>
      </c>
      <c r="K187" s="11" t="s">
        <v>18</v>
      </c>
      <c r="L187" s="11" t="s">
        <v>334</v>
      </c>
      <c r="M187" s="11">
        <v>3</v>
      </c>
      <c r="N187" s="12">
        <v>1300</v>
      </c>
      <c r="O187" s="16">
        <f t="shared" si="22"/>
        <v>3900</v>
      </c>
      <c r="P187" s="13"/>
    </row>
    <row r="188" spans="4:16">
      <c r="D188" s="5">
        <v>137</v>
      </c>
      <c r="E188" s="5">
        <v>137</v>
      </c>
      <c r="F188" s="5" t="s">
        <v>386</v>
      </c>
      <c r="G188" s="5" t="s">
        <v>387</v>
      </c>
      <c r="H188" s="5" t="s">
        <v>352</v>
      </c>
      <c r="I188" s="11" t="s">
        <v>25</v>
      </c>
      <c r="J188" s="11">
        <v>2041</v>
      </c>
      <c r="K188" s="11" t="s">
        <v>18</v>
      </c>
      <c r="L188" s="11" t="s">
        <v>19</v>
      </c>
      <c r="M188" s="11">
        <v>260</v>
      </c>
      <c r="N188" s="12">
        <v>300</v>
      </c>
      <c r="O188" s="16">
        <f t="shared" si="22"/>
        <v>78000</v>
      </c>
      <c r="P188" s="13"/>
    </row>
    <row r="189" ht="34.8" spans="4:16">
      <c r="D189" s="5">
        <v>138</v>
      </c>
      <c r="E189" s="5">
        <v>138</v>
      </c>
      <c r="F189" s="5" t="s">
        <v>388</v>
      </c>
      <c r="G189" s="5" t="s">
        <v>389</v>
      </c>
      <c r="H189" s="5" t="s">
        <v>355</v>
      </c>
      <c r="I189" s="11" t="s">
        <v>25</v>
      </c>
      <c r="J189" s="11">
        <v>2004</v>
      </c>
      <c r="K189" s="11" t="s">
        <v>18</v>
      </c>
      <c r="L189" s="11" t="s">
        <v>334</v>
      </c>
      <c r="M189" s="11">
        <v>13</v>
      </c>
      <c r="N189" s="12">
        <v>1300</v>
      </c>
      <c r="O189" s="16">
        <f t="shared" si="22"/>
        <v>16900</v>
      </c>
      <c r="P189" s="13"/>
    </row>
    <row r="190" spans="4:16">
      <c r="D190" s="4" t="s">
        <v>390</v>
      </c>
      <c r="E190" s="4" t="s">
        <v>3</v>
      </c>
      <c r="F190" s="4" t="s">
        <v>4</v>
      </c>
      <c r="G190" s="4" t="s">
        <v>5</v>
      </c>
      <c r="H190" s="4" t="s">
        <v>6</v>
      </c>
      <c r="I190" s="9" t="s">
        <v>7</v>
      </c>
      <c r="J190" s="9" t="s">
        <v>8</v>
      </c>
      <c r="K190" s="9" t="s">
        <v>9</v>
      </c>
      <c r="L190" s="9" t="s">
        <v>10</v>
      </c>
      <c r="M190" s="9" t="s">
        <v>11</v>
      </c>
      <c r="N190" s="10" t="s">
        <v>12</v>
      </c>
      <c r="O190" s="10" t="s">
        <v>13</v>
      </c>
      <c r="P190" s="13"/>
    </row>
    <row r="191" spans="4:16">
      <c r="D191" s="4"/>
      <c r="E191" s="4"/>
      <c r="F191" s="4"/>
      <c r="G191" s="4"/>
      <c r="H191" s="4"/>
      <c r="I191" s="9"/>
      <c r="J191" s="9"/>
      <c r="K191" s="9"/>
      <c r="L191" s="9"/>
      <c r="M191" s="9"/>
      <c r="N191" s="10"/>
      <c r="O191" s="10"/>
      <c r="P191" s="13"/>
    </row>
    <row r="192" ht="34.8" spans="4:16">
      <c r="D192" s="5">
        <v>139</v>
      </c>
      <c r="E192" s="5">
        <v>139</v>
      </c>
      <c r="F192" s="5" t="s">
        <v>391</v>
      </c>
      <c r="G192" s="5" t="s">
        <v>392</v>
      </c>
      <c r="H192" s="5" t="s">
        <v>358</v>
      </c>
      <c r="I192" s="11" t="s">
        <v>25</v>
      </c>
      <c r="J192" s="11">
        <v>2004</v>
      </c>
      <c r="K192" s="11" t="s">
        <v>18</v>
      </c>
      <c r="L192" s="11" t="s">
        <v>334</v>
      </c>
      <c r="M192" s="11">
        <v>24</v>
      </c>
      <c r="N192" s="12">
        <v>1300</v>
      </c>
      <c r="O192" s="16">
        <f t="shared" ref="O192:O197" si="23">N192*M192</f>
        <v>31200</v>
      </c>
      <c r="P192" s="13"/>
    </row>
    <row r="193" ht="34.8" spans="4:16">
      <c r="D193" s="5">
        <v>140</v>
      </c>
      <c r="E193" s="5">
        <v>140</v>
      </c>
      <c r="F193" s="5" t="s">
        <v>393</v>
      </c>
      <c r="G193" s="5" t="s">
        <v>394</v>
      </c>
      <c r="H193" s="5" t="s">
        <v>395</v>
      </c>
      <c r="I193" s="11" t="s">
        <v>25</v>
      </c>
      <c r="J193" s="11">
        <v>2004</v>
      </c>
      <c r="K193" s="11" t="s">
        <v>18</v>
      </c>
      <c r="L193" s="11" t="s">
        <v>334</v>
      </c>
      <c r="M193" s="11">
        <v>17</v>
      </c>
      <c r="N193" s="12">
        <v>1300</v>
      </c>
      <c r="O193" s="16">
        <f t="shared" si="23"/>
        <v>22100</v>
      </c>
      <c r="P193" s="13"/>
    </row>
    <row r="194" ht="34.8" spans="4:16">
      <c r="D194" s="5">
        <v>141</v>
      </c>
      <c r="E194" s="5">
        <v>141</v>
      </c>
      <c r="F194" s="5" t="s">
        <v>396</v>
      </c>
      <c r="G194" s="5" t="s">
        <v>397</v>
      </c>
      <c r="H194" s="5" t="s">
        <v>398</v>
      </c>
      <c r="I194" s="11" t="s">
        <v>25</v>
      </c>
      <c r="J194" s="11">
        <v>2004</v>
      </c>
      <c r="K194" s="11" t="s">
        <v>18</v>
      </c>
      <c r="L194" s="11" t="s">
        <v>334</v>
      </c>
      <c r="M194" s="11">
        <v>32</v>
      </c>
      <c r="N194" s="12">
        <v>1300</v>
      </c>
      <c r="O194" s="16">
        <f t="shared" si="23"/>
        <v>41600</v>
      </c>
      <c r="P194" s="13"/>
    </row>
    <row r="195" spans="4:16">
      <c r="D195" s="5">
        <v>142</v>
      </c>
      <c r="E195" s="5">
        <v>142</v>
      </c>
      <c r="F195" s="5" t="s">
        <v>399</v>
      </c>
      <c r="G195" s="5" t="s">
        <v>400</v>
      </c>
      <c r="H195" s="5" t="s">
        <v>367</v>
      </c>
      <c r="I195" s="11" t="s">
        <v>25</v>
      </c>
      <c r="J195" s="11">
        <v>2017</v>
      </c>
      <c r="K195" s="11" t="s">
        <v>18</v>
      </c>
      <c r="L195" s="11" t="s">
        <v>19</v>
      </c>
      <c r="M195" s="11">
        <v>260</v>
      </c>
      <c r="N195" s="12">
        <v>40</v>
      </c>
      <c r="O195" s="16">
        <f t="shared" si="23"/>
        <v>10400</v>
      </c>
      <c r="P195" s="13"/>
    </row>
    <row r="196" spans="4:16">
      <c r="D196" s="5">
        <v>143</v>
      </c>
      <c r="E196" s="5">
        <v>143</v>
      </c>
      <c r="F196" s="5" t="s">
        <v>401</v>
      </c>
      <c r="G196" s="5" t="s">
        <v>402</v>
      </c>
      <c r="H196" s="5" t="s">
        <v>370</v>
      </c>
      <c r="I196" s="11" t="s">
        <v>25</v>
      </c>
      <c r="J196" s="11">
        <v>2017</v>
      </c>
      <c r="K196" s="11" t="s">
        <v>18</v>
      </c>
      <c r="L196" s="11" t="s">
        <v>19</v>
      </c>
      <c r="M196" s="11">
        <v>260</v>
      </c>
      <c r="N196" s="12">
        <v>60</v>
      </c>
      <c r="O196" s="16">
        <f t="shared" si="23"/>
        <v>15600</v>
      </c>
      <c r="P196" s="13"/>
    </row>
    <row r="197" spans="4:16">
      <c r="D197" s="5">
        <v>144</v>
      </c>
      <c r="E197" s="5">
        <v>144</v>
      </c>
      <c r="F197" s="5" t="s">
        <v>403</v>
      </c>
      <c r="G197" s="5" t="s">
        <v>404</v>
      </c>
      <c r="H197" s="5" t="s">
        <v>373</v>
      </c>
      <c r="I197" s="11" t="s">
        <v>25</v>
      </c>
      <c r="J197" s="11">
        <v>2017</v>
      </c>
      <c r="K197" s="11" t="s">
        <v>18</v>
      </c>
      <c r="L197" s="11" t="s">
        <v>19</v>
      </c>
      <c r="M197" s="11">
        <v>320</v>
      </c>
      <c r="N197" s="12">
        <v>30</v>
      </c>
      <c r="O197" s="16">
        <f t="shared" si="23"/>
        <v>9600</v>
      </c>
      <c r="P197" s="13"/>
    </row>
    <row r="198" spans="4:16">
      <c r="D198" s="4" t="s">
        <v>37</v>
      </c>
      <c r="E198" s="4" t="s">
        <v>3</v>
      </c>
      <c r="F198" s="4" t="s">
        <v>4</v>
      </c>
      <c r="G198" s="4" t="s">
        <v>5</v>
      </c>
      <c r="H198" s="4" t="s">
        <v>6</v>
      </c>
      <c r="I198" s="9" t="s">
        <v>7</v>
      </c>
      <c r="J198" s="9" t="s">
        <v>8</v>
      </c>
      <c r="K198" s="9" t="s">
        <v>9</v>
      </c>
      <c r="L198" s="9" t="s">
        <v>10</v>
      </c>
      <c r="M198" s="9" t="s">
        <v>11</v>
      </c>
      <c r="N198" s="10" t="s">
        <v>12</v>
      </c>
      <c r="O198" s="10" t="s">
        <v>13</v>
      </c>
      <c r="P198" s="13"/>
    </row>
    <row r="199" spans="4:16">
      <c r="D199" s="4"/>
      <c r="E199" s="4"/>
      <c r="F199" s="4"/>
      <c r="G199" s="4"/>
      <c r="H199" s="4"/>
      <c r="I199" s="9"/>
      <c r="J199" s="9"/>
      <c r="K199" s="9"/>
      <c r="L199" s="9"/>
      <c r="M199" s="9"/>
      <c r="N199" s="10"/>
      <c r="O199" s="10"/>
      <c r="P199" s="13"/>
    </row>
    <row r="200" ht="34.8" spans="4:16">
      <c r="D200" s="5">
        <v>145</v>
      </c>
      <c r="E200" s="5">
        <v>145</v>
      </c>
      <c r="F200" s="5" t="s">
        <v>405</v>
      </c>
      <c r="G200" s="5" t="s">
        <v>406</v>
      </c>
      <c r="H200" s="5" t="s">
        <v>333</v>
      </c>
      <c r="I200" s="11" t="s">
        <v>17</v>
      </c>
      <c r="J200" s="11"/>
      <c r="K200" s="11" t="s">
        <v>18</v>
      </c>
      <c r="L200" s="11" t="s">
        <v>334</v>
      </c>
      <c r="M200" s="11">
        <v>100</v>
      </c>
      <c r="N200" s="12">
        <v>50</v>
      </c>
      <c r="O200" s="16">
        <f t="shared" ref="O200:O205" si="24">N200*M200</f>
        <v>5000</v>
      </c>
      <c r="P200" s="13"/>
    </row>
    <row r="201" spans="4:16">
      <c r="D201" s="5">
        <v>146</v>
      </c>
      <c r="E201" s="5">
        <v>146</v>
      </c>
      <c r="F201" s="5" t="s">
        <v>407</v>
      </c>
      <c r="G201" s="5" t="s">
        <v>408</v>
      </c>
      <c r="H201" s="5" t="s">
        <v>337</v>
      </c>
      <c r="I201" s="11" t="s">
        <v>17</v>
      </c>
      <c r="J201" s="11"/>
      <c r="K201" s="11" t="s">
        <v>18</v>
      </c>
      <c r="L201" s="11" t="s">
        <v>334</v>
      </c>
      <c r="M201" s="11">
        <v>65</v>
      </c>
      <c r="N201" s="12">
        <v>60</v>
      </c>
      <c r="O201" s="16">
        <f t="shared" si="24"/>
        <v>3900</v>
      </c>
      <c r="P201" s="13"/>
    </row>
    <row r="202" spans="4:16">
      <c r="D202" s="5">
        <v>147</v>
      </c>
      <c r="E202" s="5">
        <v>147</v>
      </c>
      <c r="F202" s="5" t="s">
        <v>409</v>
      </c>
      <c r="G202" s="5" t="s">
        <v>410</v>
      </c>
      <c r="H202" s="5" t="s">
        <v>340</v>
      </c>
      <c r="I202" s="11" t="s">
        <v>25</v>
      </c>
      <c r="J202" s="11">
        <v>2004</v>
      </c>
      <c r="K202" s="11" t="s">
        <v>18</v>
      </c>
      <c r="L202" s="11" t="s">
        <v>19</v>
      </c>
      <c r="M202" s="11">
        <v>30</v>
      </c>
      <c r="N202" s="12">
        <v>300</v>
      </c>
      <c r="O202" s="16">
        <f t="shared" si="24"/>
        <v>9000</v>
      </c>
      <c r="P202" s="13"/>
    </row>
    <row r="203" ht="34.8" spans="4:16">
      <c r="D203" s="5">
        <v>148</v>
      </c>
      <c r="E203" s="5">
        <v>148</v>
      </c>
      <c r="F203" s="5" t="s">
        <v>411</v>
      </c>
      <c r="G203" s="5" t="s">
        <v>412</v>
      </c>
      <c r="H203" s="5" t="s">
        <v>343</v>
      </c>
      <c r="I203" s="11" t="s">
        <v>25</v>
      </c>
      <c r="J203" s="11">
        <v>2004</v>
      </c>
      <c r="K203" s="11" t="s">
        <v>18</v>
      </c>
      <c r="L203" s="11" t="s">
        <v>334</v>
      </c>
      <c r="M203" s="11">
        <v>30</v>
      </c>
      <c r="N203" s="12">
        <v>1300</v>
      </c>
      <c r="O203" s="16">
        <f t="shared" si="24"/>
        <v>39000</v>
      </c>
      <c r="P203" s="13"/>
    </row>
    <row r="204" ht="34.8" spans="4:16">
      <c r="D204" s="5">
        <v>149</v>
      </c>
      <c r="E204" s="5">
        <v>149</v>
      </c>
      <c r="F204" s="5" t="s">
        <v>413</v>
      </c>
      <c r="G204" s="5" t="s">
        <v>414</v>
      </c>
      <c r="H204" s="5" t="s">
        <v>346</v>
      </c>
      <c r="I204" s="11" t="s">
        <v>25</v>
      </c>
      <c r="J204" s="11">
        <v>2004</v>
      </c>
      <c r="K204" s="11" t="s">
        <v>18</v>
      </c>
      <c r="L204" s="11" t="s">
        <v>334</v>
      </c>
      <c r="M204" s="11">
        <v>6</v>
      </c>
      <c r="N204" s="12">
        <v>1300</v>
      </c>
      <c r="O204" s="16">
        <f t="shared" si="24"/>
        <v>7800</v>
      </c>
      <c r="P204" s="13"/>
    </row>
    <row r="205" ht="34.8" spans="4:16">
      <c r="D205" s="5">
        <v>150</v>
      </c>
      <c r="E205" s="5">
        <v>150</v>
      </c>
      <c r="F205" s="5" t="s">
        <v>415</v>
      </c>
      <c r="G205" s="5" t="s">
        <v>416</v>
      </c>
      <c r="H205" s="5" t="s">
        <v>349</v>
      </c>
      <c r="I205" s="11" t="s">
        <v>25</v>
      </c>
      <c r="J205" s="11">
        <v>2004</v>
      </c>
      <c r="K205" s="11" t="s">
        <v>18</v>
      </c>
      <c r="L205" s="11" t="s">
        <v>334</v>
      </c>
      <c r="M205" s="11">
        <v>25</v>
      </c>
      <c r="N205" s="12">
        <v>1300</v>
      </c>
      <c r="O205" s="16">
        <f t="shared" si="24"/>
        <v>32500</v>
      </c>
      <c r="P205" s="13"/>
    </row>
    <row r="206" spans="4:16">
      <c r="D206" s="4" t="s">
        <v>37</v>
      </c>
      <c r="E206" s="4" t="s">
        <v>3</v>
      </c>
      <c r="F206" s="4" t="s">
        <v>4</v>
      </c>
      <c r="G206" s="4" t="s">
        <v>5</v>
      </c>
      <c r="H206" s="4" t="s">
        <v>6</v>
      </c>
      <c r="I206" s="9" t="s">
        <v>7</v>
      </c>
      <c r="J206" s="9" t="s">
        <v>8</v>
      </c>
      <c r="K206" s="9" t="s">
        <v>9</v>
      </c>
      <c r="L206" s="9" t="s">
        <v>10</v>
      </c>
      <c r="M206" s="9" t="s">
        <v>11</v>
      </c>
      <c r="N206" s="10" t="s">
        <v>12</v>
      </c>
      <c r="O206" s="10" t="s">
        <v>13</v>
      </c>
      <c r="P206" s="13"/>
    </row>
    <row r="207" spans="4:16">
      <c r="D207" s="4"/>
      <c r="E207" s="4"/>
      <c r="F207" s="4"/>
      <c r="G207" s="4"/>
      <c r="H207" s="4"/>
      <c r="I207" s="9"/>
      <c r="J207" s="9"/>
      <c r="K207" s="9"/>
      <c r="L207" s="9"/>
      <c r="M207" s="9"/>
      <c r="N207" s="10"/>
      <c r="O207" s="10"/>
      <c r="P207" s="13"/>
    </row>
    <row r="208" spans="4:16">
      <c r="D208" s="5">
        <v>151</v>
      </c>
      <c r="E208" s="5">
        <v>151</v>
      </c>
      <c r="F208" s="5" t="s">
        <v>417</v>
      </c>
      <c r="G208" s="5" t="s">
        <v>418</v>
      </c>
      <c r="H208" s="5" t="s">
        <v>352</v>
      </c>
      <c r="I208" s="11" t="s">
        <v>25</v>
      </c>
      <c r="J208" s="11">
        <v>2041</v>
      </c>
      <c r="K208" s="11" t="s">
        <v>18</v>
      </c>
      <c r="L208" s="11" t="s">
        <v>19</v>
      </c>
      <c r="M208" s="11">
        <v>72</v>
      </c>
      <c r="N208" s="12">
        <v>300</v>
      </c>
      <c r="O208" s="16">
        <f t="shared" ref="O208:O213" si="25">N208*M208</f>
        <v>21600</v>
      </c>
      <c r="P208" s="13"/>
    </row>
    <row r="209" ht="34.8" spans="4:16">
      <c r="D209" s="5">
        <v>152</v>
      </c>
      <c r="E209" s="5">
        <v>152</v>
      </c>
      <c r="F209" s="5" t="s">
        <v>419</v>
      </c>
      <c r="G209" s="5" t="s">
        <v>420</v>
      </c>
      <c r="H209" s="5" t="s">
        <v>355</v>
      </c>
      <c r="I209" s="11" t="s">
        <v>25</v>
      </c>
      <c r="J209" s="11">
        <v>2004</v>
      </c>
      <c r="K209" s="11" t="s">
        <v>18</v>
      </c>
      <c r="L209" s="11" t="s">
        <v>334</v>
      </c>
      <c r="M209" s="11">
        <v>13</v>
      </c>
      <c r="N209" s="12">
        <v>1300</v>
      </c>
      <c r="O209" s="16">
        <f t="shared" si="25"/>
        <v>16900</v>
      </c>
      <c r="P209" s="13"/>
    </row>
    <row r="210" ht="34.8" spans="4:16">
      <c r="D210" s="5">
        <v>153</v>
      </c>
      <c r="E210" s="5">
        <v>153</v>
      </c>
      <c r="F210" s="5" t="s">
        <v>421</v>
      </c>
      <c r="G210" s="5" t="s">
        <v>422</v>
      </c>
      <c r="H210" s="5" t="s">
        <v>358</v>
      </c>
      <c r="I210" s="11" t="s">
        <v>25</v>
      </c>
      <c r="J210" s="11">
        <v>2004</v>
      </c>
      <c r="K210" s="11" t="s">
        <v>18</v>
      </c>
      <c r="L210" s="11" t="s">
        <v>334</v>
      </c>
      <c r="M210" s="11">
        <v>6</v>
      </c>
      <c r="N210" s="12">
        <v>1300</v>
      </c>
      <c r="O210" s="16">
        <f t="shared" si="25"/>
        <v>7800</v>
      </c>
      <c r="P210" s="13"/>
    </row>
    <row r="211" ht="34.8" spans="4:16">
      <c r="D211" s="5">
        <v>154</v>
      </c>
      <c r="E211" s="5">
        <v>154</v>
      </c>
      <c r="F211" s="5" t="s">
        <v>423</v>
      </c>
      <c r="G211" s="5" t="s">
        <v>424</v>
      </c>
      <c r="H211" s="5" t="s">
        <v>361</v>
      </c>
      <c r="I211" s="11" t="s">
        <v>25</v>
      </c>
      <c r="J211" s="11">
        <v>2004</v>
      </c>
      <c r="K211" s="11" t="s">
        <v>18</v>
      </c>
      <c r="L211" s="11" t="s">
        <v>334</v>
      </c>
      <c r="M211" s="11">
        <v>15</v>
      </c>
      <c r="N211" s="12">
        <v>1300</v>
      </c>
      <c r="O211" s="16">
        <f t="shared" si="25"/>
        <v>19500</v>
      </c>
      <c r="P211" s="13"/>
    </row>
    <row r="212" spans="4:16">
      <c r="D212" s="5">
        <v>155</v>
      </c>
      <c r="E212" s="5">
        <v>155</v>
      </c>
      <c r="F212" s="5" t="s">
        <v>425</v>
      </c>
      <c r="G212" s="5" t="s">
        <v>426</v>
      </c>
      <c r="H212" s="5" t="s">
        <v>367</v>
      </c>
      <c r="I212" s="11" t="s">
        <v>25</v>
      </c>
      <c r="J212" s="11">
        <v>2017</v>
      </c>
      <c r="K212" s="11" t="s">
        <v>18</v>
      </c>
      <c r="L212" s="11" t="s">
        <v>19</v>
      </c>
      <c r="M212" s="11">
        <v>72</v>
      </c>
      <c r="N212" s="12">
        <v>40</v>
      </c>
      <c r="O212" s="16">
        <f t="shared" si="25"/>
        <v>2880</v>
      </c>
      <c r="P212" s="13"/>
    </row>
    <row r="213" spans="4:16">
      <c r="D213" s="5">
        <v>156</v>
      </c>
      <c r="E213" s="5">
        <v>156</v>
      </c>
      <c r="F213" s="5" t="s">
        <v>427</v>
      </c>
      <c r="G213" s="5" t="s">
        <v>428</v>
      </c>
      <c r="H213" s="5" t="s">
        <v>370</v>
      </c>
      <c r="I213" s="11" t="s">
        <v>25</v>
      </c>
      <c r="J213" s="11">
        <v>2017</v>
      </c>
      <c r="K213" s="11" t="s">
        <v>18</v>
      </c>
      <c r="L213" s="11" t="s">
        <v>19</v>
      </c>
      <c r="M213" s="11">
        <v>72</v>
      </c>
      <c r="N213" s="12">
        <v>60</v>
      </c>
      <c r="O213" s="16">
        <f t="shared" si="25"/>
        <v>4320</v>
      </c>
      <c r="P213" s="13"/>
    </row>
    <row r="214" spans="4:16">
      <c r="D214" s="4" t="s">
        <v>37</v>
      </c>
      <c r="E214" s="4" t="s">
        <v>3</v>
      </c>
      <c r="F214" s="4" t="s">
        <v>4</v>
      </c>
      <c r="G214" s="4" t="s">
        <v>5</v>
      </c>
      <c r="H214" s="4" t="s">
        <v>6</v>
      </c>
      <c r="I214" s="9" t="s">
        <v>7</v>
      </c>
      <c r="J214" s="9" t="s">
        <v>8</v>
      </c>
      <c r="K214" s="9" t="s">
        <v>9</v>
      </c>
      <c r="L214" s="9" t="s">
        <v>10</v>
      </c>
      <c r="M214" s="9" t="s">
        <v>11</v>
      </c>
      <c r="N214" s="10" t="s">
        <v>12</v>
      </c>
      <c r="O214" s="10" t="s">
        <v>13</v>
      </c>
      <c r="P214" s="13"/>
    </row>
    <row r="215" spans="4:16">
      <c r="D215" s="4"/>
      <c r="E215" s="4"/>
      <c r="F215" s="4"/>
      <c r="G215" s="4"/>
      <c r="H215" s="4"/>
      <c r="I215" s="9"/>
      <c r="J215" s="9"/>
      <c r="K215" s="9"/>
      <c r="L215" s="9"/>
      <c r="M215" s="9"/>
      <c r="N215" s="10"/>
      <c r="O215" s="10"/>
      <c r="P215" s="13"/>
    </row>
    <row r="216" spans="4:16">
      <c r="D216" s="5">
        <v>157</v>
      </c>
      <c r="E216" s="5">
        <v>157</v>
      </c>
      <c r="F216" s="5" t="s">
        <v>429</v>
      </c>
      <c r="G216" s="5" t="s">
        <v>430</v>
      </c>
      <c r="H216" s="5" t="s">
        <v>373</v>
      </c>
      <c r="I216" s="11" t="s">
        <v>25</v>
      </c>
      <c r="J216" s="11">
        <v>2017</v>
      </c>
      <c r="K216" s="11" t="s">
        <v>18</v>
      </c>
      <c r="L216" s="11" t="s">
        <v>19</v>
      </c>
      <c r="M216" s="11">
        <v>200</v>
      </c>
      <c r="N216" s="12">
        <v>25</v>
      </c>
      <c r="O216" s="16">
        <f t="shared" ref="O216:O221" si="26">N216*M216</f>
        <v>5000</v>
      </c>
      <c r="P216" s="13"/>
    </row>
    <row r="217" ht="34.8" spans="4:16">
      <c r="D217" s="5">
        <v>158</v>
      </c>
      <c r="E217" s="5">
        <v>158</v>
      </c>
      <c r="F217" s="5" t="s">
        <v>431</v>
      </c>
      <c r="G217" s="5" t="s">
        <v>432</v>
      </c>
      <c r="H217" s="5" t="s">
        <v>333</v>
      </c>
      <c r="I217" s="11" t="s">
        <v>17</v>
      </c>
      <c r="J217" s="11"/>
      <c r="K217" s="11" t="s">
        <v>18</v>
      </c>
      <c r="L217" s="11" t="s">
        <v>334</v>
      </c>
      <c r="M217" s="11">
        <v>90</v>
      </c>
      <c r="N217" s="12">
        <v>50</v>
      </c>
      <c r="O217" s="16">
        <f t="shared" si="26"/>
        <v>4500</v>
      </c>
      <c r="P217" s="13"/>
    </row>
    <row r="218" spans="4:16">
      <c r="D218" s="5">
        <v>159</v>
      </c>
      <c r="E218" s="5">
        <v>159</v>
      </c>
      <c r="F218" s="5" t="s">
        <v>433</v>
      </c>
      <c r="G218" s="5" t="s">
        <v>434</v>
      </c>
      <c r="H218" s="5" t="s">
        <v>337</v>
      </c>
      <c r="I218" s="11" t="s">
        <v>17</v>
      </c>
      <c r="J218" s="11"/>
      <c r="K218" s="11" t="s">
        <v>18</v>
      </c>
      <c r="L218" s="11" t="s">
        <v>334</v>
      </c>
      <c r="M218" s="11">
        <v>30</v>
      </c>
      <c r="N218" s="12">
        <v>60</v>
      </c>
      <c r="O218" s="16">
        <f t="shared" si="26"/>
        <v>1800</v>
      </c>
      <c r="P218" s="13"/>
    </row>
    <row r="219" spans="4:16">
      <c r="D219" s="5">
        <v>160</v>
      </c>
      <c r="E219" s="5">
        <v>160</v>
      </c>
      <c r="F219" s="5" t="s">
        <v>435</v>
      </c>
      <c r="G219" s="5" t="s">
        <v>436</v>
      </c>
      <c r="H219" s="5" t="s">
        <v>340</v>
      </c>
      <c r="I219" s="11" t="s">
        <v>25</v>
      </c>
      <c r="J219" s="11">
        <v>2004</v>
      </c>
      <c r="K219" s="11" t="s">
        <v>18</v>
      </c>
      <c r="L219" s="11" t="s">
        <v>19</v>
      </c>
      <c r="M219" s="11">
        <v>20</v>
      </c>
      <c r="N219" s="12">
        <v>300</v>
      </c>
      <c r="O219" s="16">
        <f t="shared" si="26"/>
        <v>6000</v>
      </c>
      <c r="P219" s="13"/>
    </row>
    <row r="220" ht="34.8" spans="4:16">
      <c r="D220" s="5">
        <v>161</v>
      </c>
      <c r="E220" s="5">
        <v>161</v>
      </c>
      <c r="F220" s="5" t="s">
        <v>437</v>
      </c>
      <c r="G220" s="5" t="s">
        <v>438</v>
      </c>
      <c r="H220" s="5" t="s">
        <v>343</v>
      </c>
      <c r="I220" s="11" t="s">
        <v>25</v>
      </c>
      <c r="J220" s="11">
        <v>2004</v>
      </c>
      <c r="K220" s="11" t="s">
        <v>18</v>
      </c>
      <c r="L220" s="11" t="s">
        <v>334</v>
      </c>
      <c r="M220" s="11">
        <v>10</v>
      </c>
      <c r="N220" s="12">
        <v>1300</v>
      </c>
      <c r="O220" s="16">
        <f t="shared" si="26"/>
        <v>13000</v>
      </c>
      <c r="P220" s="13"/>
    </row>
    <row r="221" ht="34.8" spans="4:16">
      <c r="D221" s="5">
        <v>162</v>
      </c>
      <c r="E221" s="5">
        <v>162</v>
      </c>
      <c r="F221" s="5" t="s">
        <v>439</v>
      </c>
      <c r="G221" s="5" t="s">
        <v>440</v>
      </c>
      <c r="H221" s="5" t="s">
        <v>355</v>
      </c>
      <c r="I221" s="11" t="s">
        <v>25</v>
      </c>
      <c r="J221" s="11">
        <v>2004</v>
      </c>
      <c r="K221" s="11" t="s">
        <v>18</v>
      </c>
      <c r="L221" s="11" t="s">
        <v>334</v>
      </c>
      <c r="M221" s="11">
        <v>15</v>
      </c>
      <c r="N221" s="12">
        <v>1300</v>
      </c>
      <c r="O221" s="16">
        <f t="shared" si="26"/>
        <v>19500</v>
      </c>
      <c r="P221" s="13"/>
    </row>
    <row r="222" spans="4:16">
      <c r="D222" s="4" t="s">
        <v>2</v>
      </c>
      <c r="E222" s="4" t="s">
        <v>3</v>
      </c>
      <c r="F222" s="4" t="s">
        <v>4</v>
      </c>
      <c r="G222" s="4" t="s">
        <v>5</v>
      </c>
      <c r="H222" s="4" t="s">
        <v>6</v>
      </c>
      <c r="I222" s="9" t="s">
        <v>7</v>
      </c>
      <c r="J222" s="9" t="s">
        <v>8</v>
      </c>
      <c r="K222" s="9" t="s">
        <v>9</v>
      </c>
      <c r="L222" s="9" t="s">
        <v>10</v>
      </c>
      <c r="M222" s="9" t="s">
        <v>11</v>
      </c>
      <c r="N222" s="10" t="s">
        <v>12</v>
      </c>
      <c r="O222" s="10" t="s">
        <v>13</v>
      </c>
      <c r="P222" s="13"/>
    </row>
    <row r="223" spans="4:16">
      <c r="D223" s="4"/>
      <c r="E223" s="4"/>
      <c r="F223" s="4"/>
      <c r="G223" s="4"/>
      <c r="H223" s="4"/>
      <c r="I223" s="9"/>
      <c r="J223" s="9"/>
      <c r="K223" s="9"/>
      <c r="L223" s="9"/>
      <c r="M223" s="9"/>
      <c r="N223" s="10"/>
      <c r="O223" s="10"/>
      <c r="P223" s="13"/>
    </row>
    <row r="224" ht="34.8" spans="4:16">
      <c r="D224" s="5">
        <v>163</v>
      </c>
      <c r="E224" s="5">
        <v>163</v>
      </c>
      <c r="F224" s="5" t="s">
        <v>441</v>
      </c>
      <c r="G224" s="5" t="s">
        <v>442</v>
      </c>
      <c r="H224" s="5" t="s">
        <v>358</v>
      </c>
      <c r="I224" s="11" t="s">
        <v>25</v>
      </c>
      <c r="J224" s="11">
        <v>2004</v>
      </c>
      <c r="K224" s="11" t="s">
        <v>18</v>
      </c>
      <c r="L224" s="11" t="s">
        <v>334</v>
      </c>
      <c r="M224" s="11">
        <v>6</v>
      </c>
      <c r="N224" s="12">
        <v>1300</v>
      </c>
      <c r="O224" s="16">
        <f t="shared" ref="O224:O229" si="27">N224*M224</f>
        <v>7800</v>
      </c>
      <c r="P224" s="13"/>
    </row>
    <row r="225" spans="4:16">
      <c r="D225" s="5">
        <v>164</v>
      </c>
      <c r="E225" s="5">
        <v>164</v>
      </c>
      <c r="F225" s="5" t="s">
        <v>443</v>
      </c>
      <c r="G225" s="5" t="s">
        <v>444</v>
      </c>
      <c r="H225" s="5" t="s">
        <v>445</v>
      </c>
      <c r="I225" s="11" t="s">
        <v>25</v>
      </c>
      <c r="J225" s="11">
        <v>2041</v>
      </c>
      <c r="K225" s="11" t="s">
        <v>18</v>
      </c>
      <c r="L225" s="11" t="s">
        <v>19</v>
      </c>
      <c r="M225" s="11">
        <v>15</v>
      </c>
      <c r="N225" s="12">
        <v>300</v>
      </c>
      <c r="O225" s="16">
        <f t="shared" si="27"/>
        <v>4500</v>
      </c>
      <c r="P225" s="13"/>
    </row>
    <row r="226" spans="4:16">
      <c r="D226" s="5">
        <v>165</v>
      </c>
      <c r="E226" s="5">
        <v>165</v>
      </c>
      <c r="F226" s="5" t="s">
        <v>446</v>
      </c>
      <c r="G226" s="5" t="s">
        <v>447</v>
      </c>
      <c r="H226" s="5" t="s">
        <v>367</v>
      </c>
      <c r="I226" s="11" t="s">
        <v>25</v>
      </c>
      <c r="J226" s="11">
        <v>2017</v>
      </c>
      <c r="K226" s="11" t="s">
        <v>18</v>
      </c>
      <c r="L226" s="11" t="s">
        <v>19</v>
      </c>
      <c r="M226" s="11">
        <v>20</v>
      </c>
      <c r="N226" s="12">
        <v>40</v>
      </c>
      <c r="O226" s="16">
        <f t="shared" si="27"/>
        <v>800</v>
      </c>
      <c r="P226" s="13"/>
    </row>
    <row r="227" spans="4:16">
      <c r="D227" s="5">
        <v>166</v>
      </c>
      <c r="E227" s="5">
        <v>166</v>
      </c>
      <c r="F227" s="5" t="s">
        <v>448</v>
      </c>
      <c r="G227" s="5" t="s">
        <v>449</v>
      </c>
      <c r="H227" s="5" t="s">
        <v>370</v>
      </c>
      <c r="I227" s="11" t="s">
        <v>25</v>
      </c>
      <c r="J227" s="11">
        <v>2017</v>
      </c>
      <c r="K227" s="11" t="s">
        <v>18</v>
      </c>
      <c r="L227" s="11" t="s">
        <v>19</v>
      </c>
      <c r="M227" s="11">
        <v>20</v>
      </c>
      <c r="N227" s="12">
        <v>60</v>
      </c>
      <c r="O227" s="16">
        <f t="shared" si="27"/>
        <v>1200</v>
      </c>
      <c r="P227" s="13"/>
    </row>
    <row r="228" spans="4:16">
      <c r="D228" s="5">
        <v>167</v>
      </c>
      <c r="E228" s="5">
        <v>167</v>
      </c>
      <c r="F228" s="5" t="s">
        <v>450</v>
      </c>
      <c r="G228" s="5" t="s">
        <v>451</v>
      </c>
      <c r="H228" s="5" t="s">
        <v>373</v>
      </c>
      <c r="I228" s="11" t="s">
        <v>25</v>
      </c>
      <c r="J228" s="11">
        <v>2017</v>
      </c>
      <c r="K228" s="11" t="s">
        <v>18</v>
      </c>
      <c r="L228" s="11" t="s">
        <v>19</v>
      </c>
      <c r="M228" s="11">
        <v>80</v>
      </c>
      <c r="N228" s="12">
        <v>30</v>
      </c>
      <c r="O228" s="16">
        <f t="shared" si="27"/>
        <v>2400</v>
      </c>
      <c r="P228" s="13"/>
    </row>
    <row r="229" ht="34.8" spans="4:16">
      <c r="D229" s="5">
        <v>168</v>
      </c>
      <c r="E229" s="5">
        <v>168</v>
      </c>
      <c r="F229" s="5" t="s">
        <v>452</v>
      </c>
      <c r="G229" s="5" t="s">
        <v>453</v>
      </c>
      <c r="H229" s="5" t="s">
        <v>333</v>
      </c>
      <c r="I229" s="11" t="s">
        <v>17</v>
      </c>
      <c r="J229" s="11"/>
      <c r="K229" s="11" t="s">
        <v>18</v>
      </c>
      <c r="L229" s="11" t="s">
        <v>334</v>
      </c>
      <c r="M229" s="11">
        <v>280</v>
      </c>
      <c r="N229" s="12">
        <v>50</v>
      </c>
      <c r="O229" s="16">
        <f t="shared" si="27"/>
        <v>14000</v>
      </c>
      <c r="P229" s="13"/>
    </row>
    <row r="230" spans="4:16">
      <c r="D230" s="4" t="s">
        <v>37</v>
      </c>
      <c r="E230" s="4" t="s">
        <v>3</v>
      </c>
      <c r="F230" s="4" t="s">
        <v>4</v>
      </c>
      <c r="G230" s="4" t="s">
        <v>5</v>
      </c>
      <c r="H230" s="4" t="s">
        <v>6</v>
      </c>
      <c r="I230" s="9" t="s">
        <v>7</v>
      </c>
      <c r="J230" s="9" t="s">
        <v>8</v>
      </c>
      <c r="K230" s="9" t="s">
        <v>9</v>
      </c>
      <c r="L230" s="9" t="s">
        <v>10</v>
      </c>
      <c r="M230" s="9" t="s">
        <v>11</v>
      </c>
      <c r="N230" s="10" t="s">
        <v>12</v>
      </c>
      <c r="O230" s="10" t="s">
        <v>13</v>
      </c>
      <c r="P230" s="13"/>
    </row>
    <row r="231" spans="4:16">
      <c r="D231" s="4"/>
      <c r="E231" s="4"/>
      <c r="F231" s="4"/>
      <c r="G231" s="4"/>
      <c r="H231" s="4"/>
      <c r="I231" s="9"/>
      <c r="J231" s="9"/>
      <c r="K231" s="9"/>
      <c r="L231" s="9"/>
      <c r="M231" s="9"/>
      <c r="N231" s="10"/>
      <c r="O231" s="10"/>
      <c r="P231" s="13"/>
    </row>
    <row r="232" spans="4:16">
      <c r="D232" s="5">
        <v>169</v>
      </c>
      <c r="E232" s="5">
        <v>169</v>
      </c>
      <c r="F232" s="5" t="s">
        <v>454</v>
      </c>
      <c r="G232" s="5" t="s">
        <v>455</v>
      </c>
      <c r="H232" s="5" t="s">
        <v>337</v>
      </c>
      <c r="I232" s="11" t="s">
        <v>17</v>
      </c>
      <c r="J232" s="11"/>
      <c r="K232" s="11" t="s">
        <v>18</v>
      </c>
      <c r="L232" s="11" t="s">
        <v>334</v>
      </c>
      <c r="M232" s="11">
        <v>67</v>
      </c>
      <c r="N232" s="12">
        <v>60</v>
      </c>
      <c r="O232" s="16">
        <f t="shared" ref="O232:O237" si="28">N232*M232</f>
        <v>4020</v>
      </c>
      <c r="P232" s="13"/>
    </row>
    <row r="233" spans="4:16">
      <c r="D233" s="5">
        <v>170</v>
      </c>
      <c r="E233" s="5">
        <v>170</v>
      </c>
      <c r="F233" s="5" t="s">
        <v>456</v>
      </c>
      <c r="G233" s="5" t="s">
        <v>457</v>
      </c>
      <c r="H233" s="5" t="s">
        <v>340</v>
      </c>
      <c r="I233" s="11" t="s">
        <v>25</v>
      </c>
      <c r="J233" s="11">
        <v>2004</v>
      </c>
      <c r="K233" s="11" t="s">
        <v>18</v>
      </c>
      <c r="L233" s="11" t="s">
        <v>19</v>
      </c>
      <c r="M233" s="11">
        <v>43</v>
      </c>
      <c r="N233" s="12">
        <v>1300</v>
      </c>
      <c r="O233" s="16">
        <f t="shared" si="28"/>
        <v>55900</v>
      </c>
      <c r="P233" s="13"/>
    </row>
    <row r="234" ht="34.8" spans="4:16">
      <c r="D234" s="5">
        <v>171</v>
      </c>
      <c r="E234" s="5">
        <v>171</v>
      </c>
      <c r="F234" s="5" t="s">
        <v>458</v>
      </c>
      <c r="G234" s="5" t="s">
        <v>459</v>
      </c>
      <c r="H234" s="5" t="s">
        <v>343</v>
      </c>
      <c r="I234" s="11" t="s">
        <v>25</v>
      </c>
      <c r="J234" s="11">
        <v>2004</v>
      </c>
      <c r="K234" s="11" t="s">
        <v>18</v>
      </c>
      <c r="L234" s="11" t="s">
        <v>334</v>
      </c>
      <c r="M234" s="11">
        <v>22</v>
      </c>
      <c r="N234" s="12">
        <v>1300</v>
      </c>
      <c r="O234" s="16">
        <f t="shared" si="28"/>
        <v>28600</v>
      </c>
      <c r="P234" s="13"/>
    </row>
    <row r="235" ht="34.8" spans="4:16">
      <c r="D235" s="5">
        <v>172</v>
      </c>
      <c r="E235" s="5">
        <v>172</v>
      </c>
      <c r="F235" s="5" t="s">
        <v>460</v>
      </c>
      <c r="G235" s="5" t="s">
        <v>461</v>
      </c>
      <c r="H235" s="5" t="s">
        <v>355</v>
      </c>
      <c r="I235" s="11" t="s">
        <v>25</v>
      </c>
      <c r="J235" s="11">
        <v>2004</v>
      </c>
      <c r="K235" s="11" t="s">
        <v>18</v>
      </c>
      <c r="L235" s="11" t="s">
        <v>334</v>
      </c>
      <c r="M235" s="11">
        <v>106</v>
      </c>
      <c r="N235" s="12">
        <v>1300</v>
      </c>
      <c r="O235" s="16">
        <f t="shared" si="28"/>
        <v>137800</v>
      </c>
      <c r="P235" s="13"/>
    </row>
    <row r="236" ht="34.8" spans="4:16">
      <c r="D236" s="5">
        <v>173</v>
      </c>
      <c r="E236" s="5">
        <v>173</v>
      </c>
      <c r="F236" s="5" t="s">
        <v>462</v>
      </c>
      <c r="G236" s="5" t="s">
        <v>463</v>
      </c>
      <c r="H236" s="5" t="s">
        <v>464</v>
      </c>
      <c r="I236" s="11" t="s">
        <v>25</v>
      </c>
      <c r="J236" s="11">
        <v>2004</v>
      </c>
      <c r="K236" s="11" t="s">
        <v>18</v>
      </c>
      <c r="L236" s="11" t="s">
        <v>334</v>
      </c>
      <c r="M236" s="11">
        <v>11</v>
      </c>
      <c r="N236" s="12">
        <v>1300</v>
      </c>
      <c r="O236" s="16">
        <f t="shared" si="28"/>
        <v>14300</v>
      </c>
      <c r="P236" s="13"/>
    </row>
    <row r="237" spans="4:16">
      <c r="D237" s="5">
        <v>174</v>
      </c>
      <c r="E237" s="5">
        <v>174</v>
      </c>
      <c r="F237" s="5" t="s">
        <v>465</v>
      </c>
      <c r="G237" s="5" t="s">
        <v>466</v>
      </c>
      <c r="H237" s="5" t="s">
        <v>367</v>
      </c>
      <c r="I237" s="11" t="s">
        <v>25</v>
      </c>
      <c r="J237" s="11">
        <v>2017</v>
      </c>
      <c r="K237" s="11" t="s">
        <v>18</v>
      </c>
      <c r="L237" s="11" t="s">
        <v>19</v>
      </c>
      <c r="M237" s="11">
        <v>43</v>
      </c>
      <c r="N237" s="12">
        <v>40</v>
      </c>
      <c r="O237" s="16">
        <f t="shared" si="28"/>
        <v>1720</v>
      </c>
      <c r="P237" s="13"/>
    </row>
    <row r="238" spans="4:16">
      <c r="D238" s="4" t="s">
        <v>37</v>
      </c>
      <c r="E238" s="4" t="s">
        <v>3</v>
      </c>
      <c r="F238" s="4" t="s">
        <v>4</v>
      </c>
      <c r="G238" s="4" t="s">
        <v>5</v>
      </c>
      <c r="H238" s="4" t="s">
        <v>6</v>
      </c>
      <c r="I238" s="9" t="s">
        <v>7</v>
      </c>
      <c r="J238" s="9" t="s">
        <v>8</v>
      </c>
      <c r="K238" s="9" t="s">
        <v>9</v>
      </c>
      <c r="L238" s="9" t="s">
        <v>10</v>
      </c>
      <c r="M238" s="9" t="s">
        <v>11</v>
      </c>
      <c r="N238" s="10" t="s">
        <v>12</v>
      </c>
      <c r="O238" s="10" t="s">
        <v>13</v>
      </c>
      <c r="P238" s="13"/>
    </row>
    <row r="239" spans="4:16">
      <c r="D239" s="4"/>
      <c r="E239" s="4"/>
      <c r="F239" s="4"/>
      <c r="G239" s="4"/>
      <c r="H239" s="4"/>
      <c r="I239" s="9"/>
      <c r="J239" s="9"/>
      <c r="K239" s="9"/>
      <c r="L239" s="9"/>
      <c r="M239" s="9"/>
      <c r="N239" s="10"/>
      <c r="O239" s="10"/>
      <c r="P239" s="13"/>
    </row>
    <row r="240" spans="4:16">
      <c r="D240" s="5">
        <v>175</v>
      </c>
      <c r="E240" s="5">
        <v>175</v>
      </c>
      <c r="F240" s="5" t="s">
        <v>467</v>
      </c>
      <c r="G240" s="5" t="s">
        <v>468</v>
      </c>
      <c r="H240" s="5" t="s">
        <v>370</v>
      </c>
      <c r="I240" s="11" t="s">
        <v>25</v>
      </c>
      <c r="J240" s="11">
        <v>2017</v>
      </c>
      <c r="K240" s="11" t="s">
        <v>18</v>
      </c>
      <c r="L240" s="11" t="s">
        <v>19</v>
      </c>
      <c r="M240" s="11">
        <v>43</v>
      </c>
      <c r="N240" s="12">
        <v>60</v>
      </c>
      <c r="O240" s="16">
        <f t="shared" ref="O240:O245" si="29">N240*M240</f>
        <v>2580</v>
      </c>
      <c r="P240" s="13"/>
    </row>
    <row r="241" spans="4:16">
      <c r="D241" s="5">
        <v>176</v>
      </c>
      <c r="E241" s="5">
        <v>176</v>
      </c>
      <c r="F241" s="5" t="s">
        <v>469</v>
      </c>
      <c r="G241" s="5" t="s">
        <v>470</v>
      </c>
      <c r="H241" s="5" t="s">
        <v>373</v>
      </c>
      <c r="I241" s="11" t="s">
        <v>25</v>
      </c>
      <c r="J241" s="11">
        <v>2017</v>
      </c>
      <c r="K241" s="11" t="s">
        <v>18</v>
      </c>
      <c r="L241" s="11" t="s">
        <v>19</v>
      </c>
      <c r="M241" s="11">
        <v>160</v>
      </c>
      <c r="N241" s="12">
        <v>25</v>
      </c>
      <c r="O241" s="16">
        <f t="shared" si="29"/>
        <v>4000</v>
      </c>
      <c r="P241" s="13"/>
    </row>
    <row r="242" ht="34.8" spans="4:16">
      <c r="D242" s="5">
        <v>177</v>
      </c>
      <c r="E242" s="5">
        <v>177</v>
      </c>
      <c r="F242" s="5" t="s">
        <v>471</v>
      </c>
      <c r="G242" s="5" t="s">
        <v>472</v>
      </c>
      <c r="H242" s="5" t="s">
        <v>333</v>
      </c>
      <c r="I242" s="11" t="s">
        <v>17</v>
      </c>
      <c r="J242" s="11"/>
      <c r="K242" s="11" t="s">
        <v>18</v>
      </c>
      <c r="L242" s="11" t="s">
        <v>334</v>
      </c>
      <c r="M242" s="11">
        <v>1450</v>
      </c>
      <c r="N242" s="12">
        <v>50</v>
      </c>
      <c r="O242" s="16">
        <f t="shared" si="29"/>
        <v>72500</v>
      </c>
      <c r="P242" s="13"/>
    </row>
    <row r="243" spans="4:16">
      <c r="D243" s="5">
        <v>178</v>
      </c>
      <c r="E243" s="5">
        <v>178</v>
      </c>
      <c r="F243" s="5" t="s">
        <v>473</v>
      </c>
      <c r="G243" s="5" t="s">
        <v>474</v>
      </c>
      <c r="H243" s="5" t="s">
        <v>337</v>
      </c>
      <c r="I243" s="11" t="s">
        <v>17</v>
      </c>
      <c r="J243" s="11"/>
      <c r="K243" s="11" t="s">
        <v>18</v>
      </c>
      <c r="L243" s="11" t="s">
        <v>334</v>
      </c>
      <c r="M243" s="11">
        <v>400</v>
      </c>
      <c r="N243" s="12">
        <v>60</v>
      </c>
      <c r="O243" s="16">
        <f t="shared" si="29"/>
        <v>24000</v>
      </c>
      <c r="P243" s="13"/>
    </row>
    <row r="244" spans="4:16">
      <c r="D244" s="5">
        <v>179</v>
      </c>
      <c r="E244" s="5">
        <v>179</v>
      </c>
      <c r="F244" s="5" t="s">
        <v>475</v>
      </c>
      <c r="G244" s="5" t="s">
        <v>476</v>
      </c>
      <c r="H244" s="5" t="s">
        <v>340</v>
      </c>
      <c r="I244" s="11" t="s">
        <v>25</v>
      </c>
      <c r="J244" s="11">
        <v>2004</v>
      </c>
      <c r="K244" s="11" t="s">
        <v>18</v>
      </c>
      <c r="L244" s="11" t="s">
        <v>19</v>
      </c>
      <c r="M244" s="11">
        <v>210</v>
      </c>
      <c r="N244" s="12">
        <v>300</v>
      </c>
      <c r="O244" s="16">
        <f t="shared" si="29"/>
        <v>63000</v>
      </c>
      <c r="P244" s="13"/>
    </row>
    <row r="245" ht="34.8" spans="4:16">
      <c r="D245" s="5">
        <v>180</v>
      </c>
      <c r="E245" s="5">
        <v>180</v>
      </c>
      <c r="F245" s="5" t="s">
        <v>477</v>
      </c>
      <c r="G245" s="5" t="s">
        <v>478</v>
      </c>
      <c r="H245" s="5" t="s">
        <v>343</v>
      </c>
      <c r="I245" s="11" t="s">
        <v>25</v>
      </c>
      <c r="J245" s="11">
        <v>2004</v>
      </c>
      <c r="K245" s="11" t="s">
        <v>18</v>
      </c>
      <c r="L245" s="11" t="s">
        <v>334</v>
      </c>
      <c r="M245" s="11">
        <v>126</v>
      </c>
      <c r="N245" s="12">
        <v>1300</v>
      </c>
      <c r="O245" s="16">
        <f t="shared" si="29"/>
        <v>163800</v>
      </c>
      <c r="P245" s="13"/>
    </row>
    <row r="246" spans="4:16">
      <c r="D246" s="4" t="s">
        <v>37</v>
      </c>
      <c r="E246" s="4" t="s">
        <v>3</v>
      </c>
      <c r="F246" s="4" t="s">
        <v>4</v>
      </c>
      <c r="G246" s="4" t="s">
        <v>5</v>
      </c>
      <c r="H246" s="4" t="s">
        <v>6</v>
      </c>
      <c r="I246" s="9" t="s">
        <v>7</v>
      </c>
      <c r="J246" s="9" t="s">
        <v>8</v>
      </c>
      <c r="K246" s="9" t="s">
        <v>9</v>
      </c>
      <c r="L246" s="9" t="s">
        <v>10</v>
      </c>
      <c r="M246" s="9" t="s">
        <v>11</v>
      </c>
      <c r="N246" s="10" t="s">
        <v>12</v>
      </c>
      <c r="O246" s="10" t="s">
        <v>13</v>
      </c>
      <c r="P246" s="13"/>
    </row>
    <row r="247" spans="4:16">
      <c r="D247" s="4"/>
      <c r="E247" s="4"/>
      <c r="F247" s="4"/>
      <c r="G247" s="4"/>
      <c r="H247" s="4"/>
      <c r="I247" s="9"/>
      <c r="J247" s="9"/>
      <c r="K247" s="9"/>
      <c r="L247" s="9"/>
      <c r="M247" s="9"/>
      <c r="N247" s="10"/>
      <c r="O247" s="10"/>
      <c r="P247" s="13"/>
    </row>
    <row r="248" ht="34.8" spans="4:16">
      <c r="D248" s="5">
        <v>181</v>
      </c>
      <c r="E248" s="5">
        <v>181</v>
      </c>
      <c r="F248" s="5" t="s">
        <v>479</v>
      </c>
      <c r="G248" s="5" t="s">
        <v>480</v>
      </c>
      <c r="H248" s="5" t="s">
        <v>355</v>
      </c>
      <c r="I248" s="11" t="s">
        <v>25</v>
      </c>
      <c r="J248" s="11">
        <v>2004</v>
      </c>
      <c r="K248" s="11" t="s">
        <v>18</v>
      </c>
      <c r="L248" s="11" t="s">
        <v>334</v>
      </c>
      <c r="M248" s="11">
        <v>270</v>
      </c>
      <c r="N248" s="12">
        <v>1300</v>
      </c>
      <c r="O248" s="16">
        <f t="shared" ref="O248:O253" si="30">N248*M248</f>
        <v>351000</v>
      </c>
      <c r="P248" s="13"/>
    </row>
    <row r="249" ht="34.8" spans="4:16">
      <c r="D249" s="5">
        <v>182</v>
      </c>
      <c r="E249" s="5">
        <v>182</v>
      </c>
      <c r="F249" s="5" t="s">
        <v>481</v>
      </c>
      <c r="G249" s="5" t="s">
        <v>482</v>
      </c>
      <c r="H249" s="5" t="s">
        <v>358</v>
      </c>
      <c r="I249" s="11" t="s">
        <v>25</v>
      </c>
      <c r="J249" s="11">
        <v>2004</v>
      </c>
      <c r="K249" s="11" t="s">
        <v>18</v>
      </c>
      <c r="L249" s="11" t="s">
        <v>334</v>
      </c>
      <c r="M249" s="11">
        <v>9</v>
      </c>
      <c r="N249" s="12">
        <v>1300</v>
      </c>
      <c r="O249" s="16">
        <f t="shared" si="30"/>
        <v>11700</v>
      </c>
      <c r="P249" s="13"/>
    </row>
    <row r="250" ht="34.8" spans="4:16">
      <c r="D250" s="5">
        <v>183</v>
      </c>
      <c r="E250" s="5">
        <v>183</v>
      </c>
      <c r="F250" s="5" t="s">
        <v>483</v>
      </c>
      <c r="G250" s="5" t="s">
        <v>484</v>
      </c>
      <c r="H250" s="5" t="s">
        <v>485</v>
      </c>
      <c r="I250" s="11" t="s">
        <v>25</v>
      </c>
      <c r="J250" s="11">
        <v>2004</v>
      </c>
      <c r="K250" s="11" t="s">
        <v>18</v>
      </c>
      <c r="L250" s="11" t="s">
        <v>334</v>
      </c>
      <c r="M250" s="11">
        <v>55</v>
      </c>
      <c r="N250" s="12">
        <v>1300</v>
      </c>
      <c r="O250" s="16">
        <f t="shared" si="30"/>
        <v>71500</v>
      </c>
      <c r="P250" s="13"/>
    </row>
    <row r="251" spans="4:16">
      <c r="D251" s="5">
        <v>184</v>
      </c>
      <c r="E251" s="5">
        <v>184</v>
      </c>
      <c r="F251" s="5" t="s">
        <v>486</v>
      </c>
      <c r="G251" s="5" t="s">
        <v>487</v>
      </c>
      <c r="H251" s="5" t="s">
        <v>367</v>
      </c>
      <c r="I251" s="11" t="s">
        <v>25</v>
      </c>
      <c r="J251" s="11">
        <v>2017</v>
      </c>
      <c r="K251" s="11" t="s">
        <v>18</v>
      </c>
      <c r="L251" s="11" t="s">
        <v>19</v>
      </c>
      <c r="M251" s="11">
        <v>210</v>
      </c>
      <c r="N251" s="12">
        <v>40</v>
      </c>
      <c r="O251" s="16">
        <f t="shared" si="30"/>
        <v>8400</v>
      </c>
      <c r="P251" s="13"/>
    </row>
    <row r="252" spans="4:16">
      <c r="D252" s="5">
        <v>185</v>
      </c>
      <c r="E252" s="5">
        <v>185</v>
      </c>
      <c r="F252" s="5" t="s">
        <v>488</v>
      </c>
      <c r="G252" s="5" t="s">
        <v>489</v>
      </c>
      <c r="H252" s="5" t="s">
        <v>370</v>
      </c>
      <c r="I252" s="11" t="s">
        <v>25</v>
      </c>
      <c r="J252" s="11">
        <v>2017</v>
      </c>
      <c r="K252" s="11" t="s">
        <v>18</v>
      </c>
      <c r="L252" s="11" t="s">
        <v>19</v>
      </c>
      <c r="M252" s="11">
        <v>210</v>
      </c>
      <c r="N252" s="12">
        <v>60</v>
      </c>
      <c r="O252" s="16">
        <f t="shared" si="30"/>
        <v>12600</v>
      </c>
      <c r="P252" s="13"/>
    </row>
    <row r="253" spans="4:16">
      <c r="D253" s="5">
        <v>186</v>
      </c>
      <c r="E253" s="5">
        <v>186</v>
      </c>
      <c r="F253" s="5" t="s">
        <v>490</v>
      </c>
      <c r="G253" s="5" t="s">
        <v>491</v>
      </c>
      <c r="H253" s="5" t="s">
        <v>373</v>
      </c>
      <c r="I253" s="11" t="s">
        <v>25</v>
      </c>
      <c r="J253" s="11">
        <v>2017</v>
      </c>
      <c r="K253" s="11" t="s">
        <v>18</v>
      </c>
      <c r="L253" s="11" t="s">
        <v>19</v>
      </c>
      <c r="M253" s="11">
        <v>510</v>
      </c>
      <c r="N253" s="12">
        <v>30</v>
      </c>
      <c r="O253" s="16">
        <f t="shared" si="30"/>
        <v>15300</v>
      </c>
      <c r="P253" s="13"/>
    </row>
    <row r="254" spans="4:16">
      <c r="D254" s="4" t="s">
        <v>390</v>
      </c>
      <c r="E254" s="4" t="s">
        <v>3</v>
      </c>
      <c r="F254" s="4" t="s">
        <v>4</v>
      </c>
      <c r="G254" s="4" t="s">
        <v>5</v>
      </c>
      <c r="H254" s="4" t="s">
        <v>6</v>
      </c>
      <c r="I254" s="9" t="s">
        <v>7</v>
      </c>
      <c r="J254" s="9" t="s">
        <v>8</v>
      </c>
      <c r="K254" s="9" t="s">
        <v>9</v>
      </c>
      <c r="L254" s="9" t="s">
        <v>10</v>
      </c>
      <c r="M254" s="9" t="s">
        <v>11</v>
      </c>
      <c r="N254" s="10" t="s">
        <v>12</v>
      </c>
      <c r="O254" s="10" t="s">
        <v>13</v>
      </c>
      <c r="P254" s="13"/>
    </row>
    <row r="255" spans="4:16">
      <c r="D255" s="4"/>
      <c r="E255" s="4"/>
      <c r="F255" s="4"/>
      <c r="G255" s="4"/>
      <c r="H255" s="4"/>
      <c r="I255" s="9"/>
      <c r="J255" s="9"/>
      <c r="K255" s="9"/>
      <c r="L255" s="9"/>
      <c r="M255" s="9"/>
      <c r="N255" s="10"/>
      <c r="O255" s="10"/>
      <c r="P255" s="13"/>
    </row>
    <row r="256" spans="4:16">
      <c r="D256" s="5">
        <v>187</v>
      </c>
      <c r="E256" s="5">
        <v>187</v>
      </c>
      <c r="F256" s="5" t="s">
        <v>492</v>
      </c>
      <c r="G256" s="5" t="s">
        <v>493</v>
      </c>
      <c r="H256" s="5" t="s">
        <v>494</v>
      </c>
      <c r="I256" s="11" t="s">
        <v>17</v>
      </c>
      <c r="J256" s="11"/>
      <c r="K256" s="11" t="s">
        <v>18</v>
      </c>
      <c r="L256" s="11" t="s">
        <v>334</v>
      </c>
      <c r="M256" s="11">
        <v>40</v>
      </c>
      <c r="N256" s="12">
        <v>50</v>
      </c>
      <c r="O256" s="16">
        <f t="shared" ref="O256:O261" si="31">N256*M256</f>
        <v>2000</v>
      </c>
      <c r="P256" s="13"/>
    </row>
    <row r="257" spans="4:16">
      <c r="D257" s="5">
        <v>188</v>
      </c>
      <c r="E257" s="5">
        <v>188</v>
      </c>
      <c r="F257" s="5" t="s">
        <v>495</v>
      </c>
      <c r="G257" s="5" t="s">
        <v>496</v>
      </c>
      <c r="H257" s="5" t="s">
        <v>497</v>
      </c>
      <c r="I257" s="11" t="s">
        <v>17</v>
      </c>
      <c r="J257" s="11"/>
      <c r="K257" s="11" t="s">
        <v>18</v>
      </c>
      <c r="L257" s="11" t="s">
        <v>334</v>
      </c>
      <c r="M257" s="11">
        <v>30</v>
      </c>
      <c r="N257" s="12">
        <v>60</v>
      </c>
      <c r="O257" s="16">
        <f t="shared" si="31"/>
        <v>1800</v>
      </c>
      <c r="P257" s="13"/>
    </row>
    <row r="258" spans="4:16">
      <c r="D258" s="5">
        <v>189</v>
      </c>
      <c r="E258" s="5">
        <v>189</v>
      </c>
      <c r="F258" s="5" t="s">
        <v>498</v>
      </c>
      <c r="G258" s="5" t="s">
        <v>499</v>
      </c>
      <c r="H258" s="5" t="s">
        <v>500</v>
      </c>
      <c r="I258" s="11" t="s">
        <v>25</v>
      </c>
      <c r="J258" s="11">
        <v>2004</v>
      </c>
      <c r="K258" s="11" t="s">
        <v>18</v>
      </c>
      <c r="L258" s="11" t="s">
        <v>19</v>
      </c>
      <c r="M258" s="11">
        <v>15</v>
      </c>
      <c r="N258" s="12">
        <v>300</v>
      </c>
      <c r="O258" s="16">
        <f t="shared" si="31"/>
        <v>4500</v>
      </c>
      <c r="P258" s="13"/>
    </row>
    <row r="259" spans="4:16">
      <c r="D259" s="5">
        <v>190</v>
      </c>
      <c r="E259" s="5">
        <v>190</v>
      </c>
      <c r="F259" s="5" t="s">
        <v>501</v>
      </c>
      <c r="G259" s="5" t="s">
        <v>502</v>
      </c>
      <c r="H259" s="5" t="s">
        <v>503</v>
      </c>
      <c r="I259" s="11" t="s">
        <v>25</v>
      </c>
      <c r="J259" s="11">
        <v>2004</v>
      </c>
      <c r="K259" s="11" t="s">
        <v>18</v>
      </c>
      <c r="L259" s="11" t="s">
        <v>334</v>
      </c>
      <c r="M259" s="11">
        <v>5</v>
      </c>
      <c r="N259" s="12">
        <v>1300</v>
      </c>
      <c r="O259" s="16">
        <f t="shared" si="31"/>
        <v>6500</v>
      </c>
      <c r="P259" s="13"/>
    </row>
    <row r="260" spans="4:16">
      <c r="D260" s="5">
        <v>191</v>
      </c>
      <c r="E260" s="5">
        <v>191</v>
      </c>
      <c r="F260" s="5" t="s">
        <v>504</v>
      </c>
      <c r="G260" s="5" t="s">
        <v>505</v>
      </c>
      <c r="H260" s="5" t="s">
        <v>506</v>
      </c>
      <c r="I260" s="11" t="s">
        <v>25</v>
      </c>
      <c r="J260" s="11">
        <v>2004</v>
      </c>
      <c r="K260" s="11" t="s">
        <v>18</v>
      </c>
      <c r="L260" s="11" t="s">
        <v>334</v>
      </c>
      <c r="M260" s="11">
        <v>2</v>
      </c>
      <c r="N260" s="12">
        <v>1300</v>
      </c>
      <c r="O260" s="16">
        <f t="shared" si="31"/>
        <v>2600</v>
      </c>
      <c r="P260" s="13"/>
    </row>
    <row r="261" ht="34.8" spans="4:16">
      <c r="D261" s="5">
        <v>192</v>
      </c>
      <c r="E261" s="5">
        <v>192</v>
      </c>
      <c r="F261" s="5" t="s">
        <v>507</v>
      </c>
      <c r="G261" s="5" t="s">
        <v>508</v>
      </c>
      <c r="H261" s="5" t="s">
        <v>509</v>
      </c>
      <c r="I261" s="11" t="s">
        <v>25</v>
      </c>
      <c r="J261" s="11">
        <v>2004</v>
      </c>
      <c r="K261" s="11" t="s">
        <v>18</v>
      </c>
      <c r="L261" s="11" t="s">
        <v>334</v>
      </c>
      <c r="M261" s="11">
        <v>1</v>
      </c>
      <c r="N261" s="12">
        <v>1300</v>
      </c>
      <c r="O261" s="16">
        <f t="shared" si="31"/>
        <v>1300</v>
      </c>
      <c r="P261" s="13"/>
    </row>
    <row r="262" spans="4:16">
      <c r="D262" s="4" t="s">
        <v>390</v>
      </c>
      <c r="E262" s="4" t="s">
        <v>3</v>
      </c>
      <c r="F262" s="4" t="s">
        <v>4</v>
      </c>
      <c r="G262" s="4" t="s">
        <v>5</v>
      </c>
      <c r="H262" s="4" t="s">
        <v>6</v>
      </c>
      <c r="I262" s="9" t="s">
        <v>7</v>
      </c>
      <c r="J262" s="9" t="s">
        <v>8</v>
      </c>
      <c r="K262" s="9" t="s">
        <v>9</v>
      </c>
      <c r="L262" s="9" t="s">
        <v>10</v>
      </c>
      <c r="M262" s="9" t="s">
        <v>11</v>
      </c>
      <c r="N262" s="10" t="s">
        <v>12</v>
      </c>
      <c r="O262" s="10" t="s">
        <v>13</v>
      </c>
      <c r="P262" s="13"/>
    </row>
    <row r="263" spans="4:16">
      <c r="D263" s="4"/>
      <c r="E263" s="4"/>
      <c r="F263" s="4"/>
      <c r="G263" s="4"/>
      <c r="H263" s="4"/>
      <c r="I263" s="9"/>
      <c r="J263" s="9"/>
      <c r="K263" s="9"/>
      <c r="L263" s="9"/>
      <c r="M263" s="9"/>
      <c r="N263" s="10"/>
      <c r="O263" s="10"/>
      <c r="P263" s="13"/>
    </row>
    <row r="264" spans="4:16">
      <c r="D264" s="5">
        <v>193</v>
      </c>
      <c r="E264" s="5">
        <v>193</v>
      </c>
      <c r="F264" s="5" t="s">
        <v>510</v>
      </c>
      <c r="G264" s="5" t="s">
        <v>511</v>
      </c>
      <c r="H264" s="5" t="s">
        <v>512</v>
      </c>
      <c r="I264" s="11" t="s">
        <v>25</v>
      </c>
      <c r="J264" s="11">
        <v>2004</v>
      </c>
      <c r="K264" s="11" t="s">
        <v>18</v>
      </c>
      <c r="L264" s="11" t="s">
        <v>19</v>
      </c>
      <c r="M264" s="11">
        <v>21</v>
      </c>
      <c r="N264" s="12">
        <v>300</v>
      </c>
      <c r="O264" s="16">
        <f t="shared" ref="O264:O269" si="32">N264*M264</f>
        <v>6300</v>
      </c>
      <c r="P264" s="13"/>
    </row>
    <row r="265" spans="4:16">
      <c r="D265" s="5">
        <v>194</v>
      </c>
      <c r="E265" s="5">
        <v>194</v>
      </c>
      <c r="F265" s="5" t="s">
        <v>513</v>
      </c>
      <c r="G265" s="5" t="s">
        <v>514</v>
      </c>
      <c r="H265" s="5" t="s">
        <v>515</v>
      </c>
      <c r="I265" s="11" t="s">
        <v>25</v>
      </c>
      <c r="J265" s="11">
        <v>2004</v>
      </c>
      <c r="K265" s="11" t="s">
        <v>18</v>
      </c>
      <c r="L265" s="11" t="s">
        <v>334</v>
      </c>
      <c r="M265" s="11">
        <v>2</v>
      </c>
      <c r="N265" s="12">
        <v>1300</v>
      </c>
      <c r="O265" s="16">
        <f t="shared" si="32"/>
        <v>2600</v>
      </c>
      <c r="P265" s="13"/>
    </row>
    <row r="266" spans="4:16">
      <c r="D266" s="5">
        <v>195</v>
      </c>
      <c r="E266" s="5">
        <v>195</v>
      </c>
      <c r="F266" s="5" t="s">
        <v>516</v>
      </c>
      <c r="G266" s="5" t="s">
        <v>517</v>
      </c>
      <c r="H266" s="5" t="s">
        <v>518</v>
      </c>
      <c r="I266" s="11" t="s">
        <v>25</v>
      </c>
      <c r="J266" s="11">
        <v>2004</v>
      </c>
      <c r="K266" s="11" t="s">
        <v>18</v>
      </c>
      <c r="L266" s="11" t="s">
        <v>334</v>
      </c>
      <c r="M266" s="11">
        <v>4</v>
      </c>
      <c r="N266" s="12">
        <v>1300</v>
      </c>
      <c r="O266" s="16">
        <f t="shared" si="32"/>
        <v>5200</v>
      </c>
      <c r="P266" s="13"/>
    </row>
    <row r="267" spans="4:16">
      <c r="D267" s="5">
        <v>196</v>
      </c>
      <c r="E267" s="5">
        <v>196</v>
      </c>
      <c r="F267" s="5" t="s">
        <v>519</v>
      </c>
      <c r="G267" s="5" t="s">
        <v>520</v>
      </c>
      <c r="H267" s="5" t="s">
        <v>521</v>
      </c>
      <c r="I267" s="11" t="s">
        <v>25</v>
      </c>
      <c r="J267" s="11">
        <v>2004</v>
      </c>
      <c r="K267" s="11" t="s">
        <v>18</v>
      </c>
      <c r="L267" s="11" t="s">
        <v>334</v>
      </c>
      <c r="M267" s="11">
        <v>5</v>
      </c>
      <c r="N267" s="12">
        <v>1300</v>
      </c>
      <c r="O267" s="16">
        <f t="shared" si="32"/>
        <v>6500</v>
      </c>
      <c r="P267" s="13"/>
    </row>
    <row r="268" spans="4:16">
      <c r="D268" s="5">
        <v>197</v>
      </c>
      <c r="E268" s="5">
        <v>197</v>
      </c>
      <c r="F268" s="5" t="s">
        <v>522</v>
      </c>
      <c r="G268" s="5" t="s">
        <v>523</v>
      </c>
      <c r="H268" s="5" t="s">
        <v>367</v>
      </c>
      <c r="I268" s="11" t="s">
        <v>25</v>
      </c>
      <c r="J268" s="11">
        <v>2017</v>
      </c>
      <c r="K268" s="11" t="s">
        <v>18</v>
      </c>
      <c r="L268" s="11" t="s">
        <v>19</v>
      </c>
      <c r="M268" s="11">
        <v>30</v>
      </c>
      <c r="N268" s="12">
        <v>40</v>
      </c>
      <c r="O268" s="16">
        <f t="shared" si="32"/>
        <v>1200</v>
      </c>
      <c r="P268" s="13"/>
    </row>
    <row r="269" spans="4:16">
      <c r="D269" s="5">
        <v>198</v>
      </c>
      <c r="E269" s="5">
        <v>198</v>
      </c>
      <c r="F269" s="5" t="s">
        <v>524</v>
      </c>
      <c r="G269" s="5" t="s">
        <v>525</v>
      </c>
      <c r="H269" s="5" t="s">
        <v>370</v>
      </c>
      <c r="I269" s="11" t="s">
        <v>25</v>
      </c>
      <c r="J269" s="11">
        <v>2017</v>
      </c>
      <c r="K269" s="11" t="s">
        <v>18</v>
      </c>
      <c r="L269" s="11" t="s">
        <v>19</v>
      </c>
      <c r="M269" s="11">
        <v>30</v>
      </c>
      <c r="N269" s="12">
        <v>60</v>
      </c>
      <c r="O269" s="16">
        <f t="shared" si="32"/>
        <v>1800</v>
      </c>
      <c r="P269" s="13"/>
    </row>
    <row r="270" spans="4:16">
      <c r="D270" s="4" t="s">
        <v>2</v>
      </c>
      <c r="E270" s="4" t="s">
        <v>3</v>
      </c>
      <c r="F270" s="4" t="s">
        <v>4</v>
      </c>
      <c r="G270" s="4" t="s">
        <v>5</v>
      </c>
      <c r="H270" s="4" t="s">
        <v>6</v>
      </c>
      <c r="I270" s="9" t="s">
        <v>7</v>
      </c>
      <c r="J270" s="9" t="s">
        <v>8</v>
      </c>
      <c r="K270" s="9" t="s">
        <v>9</v>
      </c>
      <c r="L270" s="9" t="s">
        <v>10</v>
      </c>
      <c r="M270" s="9" t="s">
        <v>11</v>
      </c>
      <c r="N270" s="10" t="s">
        <v>12</v>
      </c>
      <c r="O270" s="10" t="s">
        <v>13</v>
      </c>
      <c r="P270" s="13"/>
    </row>
    <row r="271" spans="4:16">
      <c r="D271" s="4"/>
      <c r="E271" s="4"/>
      <c r="F271" s="4"/>
      <c r="G271" s="4"/>
      <c r="H271" s="4"/>
      <c r="I271" s="9"/>
      <c r="J271" s="9"/>
      <c r="K271" s="9"/>
      <c r="L271" s="9"/>
      <c r="M271" s="9"/>
      <c r="N271" s="10"/>
      <c r="O271" s="10"/>
      <c r="P271" s="13"/>
    </row>
    <row r="272" spans="4:16">
      <c r="D272" s="5">
        <v>199</v>
      </c>
      <c r="E272" s="5">
        <v>199</v>
      </c>
      <c r="F272" s="5" t="s">
        <v>526</v>
      </c>
      <c r="G272" s="5" t="s">
        <v>527</v>
      </c>
      <c r="H272" s="5" t="s">
        <v>373</v>
      </c>
      <c r="I272" s="11" t="s">
        <v>25</v>
      </c>
      <c r="J272" s="11">
        <v>2017</v>
      </c>
      <c r="K272" s="11" t="s">
        <v>18</v>
      </c>
      <c r="L272" s="11" t="s">
        <v>19</v>
      </c>
      <c r="M272" s="11">
        <v>50</v>
      </c>
      <c r="N272" s="12">
        <v>30</v>
      </c>
      <c r="O272" s="16">
        <f t="shared" ref="O272:O277" si="33">N272*M272</f>
        <v>1500</v>
      </c>
      <c r="P272" s="13"/>
    </row>
    <row r="273" ht="34.8" spans="4:16">
      <c r="D273" s="5">
        <v>200</v>
      </c>
      <c r="E273" s="5">
        <v>200</v>
      </c>
      <c r="F273" s="5" t="s">
        <v>528</v>
      </c>
      <c r="G273" s="5" t="s">
        <v>529</v>
      </c>
      <c r="H273" s="5" t="s">
        <v>530</v>
      </c>
      <c r="I273" s="11" t="s">
        <v>17</v>
      </c>
      <c r="J273" s="11"/>
      <c r="K273" s="11" t="s">
        <v>18</v>
      </c>
      <c r="L273" s="11" t="s">
        <v>334</v>
      </c>
      <c r="M273" s="11">
        <v>1260</v>
      </c>
      <c r="N273" s="12">
        <v>50</v>
      </c>
      <c r="O273" s="16">
        <f t="shared" si="33"/>
        <v>63000</v>
      </c>
      <c r="P273" s="13"/>
    </row>
    <row r="274" spans="4:16">
      <c r="D274" s="5">
        <v>201</v>
      </c>
      <c r="E274" s="5">
        <v>201</v>
      </c>
      <c r="F274" s="5" t="s">
        <v>531</v>
      </c>
      <c r="G274" s="5" t="s">
        <v>532</v>
      </c>
      <c r="H274" s="5" t="s">
        <v>497</v>
      </c>
      <c r="I274" s="11" t="s">
        <v>17</v>
      </c>
      <c r="J274" s="11"/>
      <c r="K274" s="11" t="s">
        <v>18</v>
      </c>
      <c r="L274" s="11" t="s">
        <v>334</v>
      </c>
      <c r="M274" s="11">
        <v>827</v>
      </c>
      <c r="N274" s="12">
        <v>60</v>
      </c>
      <c r="O274" s="16">
        <f t="shared" si="33"/>
        <v>49620</v>
      </c>
      <c r="P274" s="13"/>
    </row>
    <row r="275" spans="4:16">
      <c r="D275" s="5">
        <v>202</v>
      </c>
      <c r="E275" s="5">
        <v>202</v>
      </c>
      <c r="F275" s="5" t="s">
        <v>533</v>
      </c>
      <c r="G275" s="5" t="s">
        <v>534</v>
      </c>
      <c r="H275" s="5" t="s">
        <v>535</v>
      </c>
      <c r="I275" s="11" t="s">
        <v>25</v>
      </c>
      <c r="J275" s="11">
        <v>2004</v>
      </c>
      <c r="K275" s="11" t="s">
        <v>18</v>
      </c>
      <c r="L275" s="11" t="s">
        <v>19</v>
      </c>
      <c r="M275" s="11">
        <v>225</v>
      </c>
      <c r="N275" s="12">
        <v>300</v>
      </c>
      <c r="O275" s="16">
        <f t="shared" si="33"/>
        <v>67500</v>
      </c>
      <c r="P275" s="13"/>
    </row>
    <row r="276" ht="34.8" spans="4:16">
      <c r="D276" s="5">
        <v>203</v>
      </c>
      <c r="E276" s="5">
        <v>203</v>
      </c>
      <c r="F276" s="5" t="s">
        <v>536</v>
      </c>
      <c r="G276" s="5" t="s">
        <v>537</v>
      </c>
      <c r="H276" s="5" t="s">
        <v>538</v>
      </c>
      <c r="I276" s="11" t="s">
        <v>25</v>
      </c>
      <c r="J276" s="11">
        <v>2004</v>
      </c>
      <c r="K276" s="11" t="s">
        <v>18</v>
      </c>
      <c r="L276" s="11" t="s">
        <v>334</v>
      </c>
      <c r="M276" s="11">
        <v>186</v>
      </c>
      <c r="N276" s="12">
        <v>1300</v>
      </c>
      <c r="O276" s="16">
        <f t="shared" si="33"/>
        <v>241800</v>
      </c>
      <c r="P276" s="13"/>
    </row>
    <row r="277" ht="34.8" spans="4:16">
      <c r="D277" s="5">
        <v>204</v>
      </c>
      <c r="E277" s="5">
        <v>204</v>
      </c>
      <c r="F277" s="5" t="s">
        <v>539</v>
      </c>
      <c r="G277" s="5" t="s">
        <v>540</v>
      </c>
      <c r="H277" s="5" t="s">
        <v>506</v>
      </c>
      <c r="I277" s="11" t="s">
        <v>25</v>
      </c>
      <c r="J277" s="11">
        <v>2004</v>
      </c>
      <c r="K277" s="11" t="s">
        <v>18</v>
      </c>
      <c r="L277" s="11" t="s">
        <v>334</v>
      </c>
      <c r="M277" s="11">
        <v>22</v>
      </c>
      <c r="N277" s="12">
        <v>1300</v>
      </c>
      <c r="O277" s="16">
        <f t="shared" si="33"/>
        <v>28600</v>
      </c>
      <c r="P277" s="13"/>
    </row>
    <row r="278" spans="4:16">
      <c r="D278" s="4" t="s">
        <v>2</v>
      </c>
      <c r="E278" s="4" t="s">
        <v>3</v>
      </c>
      <c r="F278" s="4" t="s">
        <v>4</v>
      </c>
      <c r="G278" s="4" t="s">
        <v>5</v>
      </c>
      <c r="H278" s="4" t="s">
        <v>6</v>
      </c>
      <c r="I278" s="9" t="s">
        <v>7</v>
      </c>
      <c r="J278" s="9" t="s">
        <v>8</v>
      </c>
      <c r="K278" s="9" t="s">
        <v>9</v>
      </c>
      <c r="L278" s="9" t="s">
        <v>10</v>
      </c>
      <c r="M278" s="9" t="s">
        <v>11</v>
      </c>
      <c r="N278" s="10" t="s">
        <v>12</v>
      </c>
      <c r="O278" s="10" t="s">
        <v>13</v>
      </c>
      <c r="P278" s="13"/>
    </row>
    <row r="279" spans="4:16">
      <c r="D279" s="4"/>
      <c r="E279" s="4"/>
      <c r="F279" s="4"/>
      <c r="G279" s="4"/>
      <c r="H279" s="4"/>
      <c r="I279" s="9"/>
      <c r="J279" s="9"/>
      <c r="K279" s="9"/>
      <c r="L279" s="9"/>
      <c r="M279" s="9"/>
      <c r="N279" s="10"/>
      <c r="O279" s="10"/>
      <c r="P279" s="13"/>
    </row>
    <row r="280" spans="4:16">
      <c r="D280" s="5">
        <v>205</v>
      </c>
      <c r="E280" s="5">
        <v>205</v>
      </c>
      <c r="F280" s="5" t="s">
        <v>541</v>
      </c>
      <c r="G280" s="5" t="s">
        <v>542</v>
      </c>
      <c r="H280" s="5" t="s">
        <v>543</v>
      </c>
      <c r="I280" s="11" t="s">
        <v>25</v>
      </c>
      <c r="J280" s="11">
        <v>2004</v>
      </c>
      <c r="K280" s="11" t="s">
        <v>18</v>
      </c>
      <c r="L280" s="11" t="s">
        <v>19</v>
      </c>
      <c r="M280" s="11">
        <v>19</v>
      </c>
      <c r="N280" s="12">
        <v>300</v>
      </c>
      <c r="O280" s="16">
        <f t="shared" ref="O280:O285" si="34">N280*M280</f>
        <v>5700</v>
      </c>
      <c r="P280" s="13"/>
    </row>
    <row r="281" ht="34.8" spans="4:16">
      <c r="D281" s="5">
        <v>206</v>
      </c>
      <c r="E281" s="5">
        <v>206</v>
      </c>
      <c r="F281" s="5" t="s">
        <v>544</v>
      </c>
      <c r="G281" s="5" t="s">
        <v>545</v>
      </c>
      <c r="H281" s="5" t="s">
        <v>546</v>
      </c>
      <c r="I281" s="11" t="s">
        <v>25</v>
      </c>
      <c r="J281" s="11">
        <v>2004</v>
      </c>
      <c r="K281" s="11" t="s">
        <v>18</v>
      </c>
      <c r="L281" s="11" t="s">
        <v>334</v>
      </c>
      <c r="M281" s="11">
        <v>19</v>
      </c>
      <c r="N281" s="12">
        <v>1300</v>
      </c>
      <c r="O281" s="16">
        <f t="shared" si="34"/>
        <v>24700</v>
      </c>
      <c r="P281" s="13"/>
    </row>
    <row r="282" ht="87" spans="4:16">
      <c r="D282" s="5">
        <v>207</v>
      </c>
      <c r="E282" s="5">
        <v>207</v>
      </c>
      <c r="F282" s="5" t="s">
        <v>547</v>
      </c>
      <c r="G282" s="5" t="s">
        <v>548</v>
      </c>
      <c r="H282" s="5" t="s">
        <v>549</v>
      </c>
      <c r="I282" s="11" t="s">
        <v>25</v>
      </c>
      <c r="J282" s="11">
        <v>2011</v>
      </c>
      <c r="K282" s="11" t="s">
        <v>18</v>
      </c>
      <c r="L282" s="11" t="s">
        <v>550</v>
      </c>
      <c r="M282" s="11">
        <v>60</v>
      </c>
      <c r="N282" s="12">
        <v>7000</v>
      </c>
      <c r="O282" s="16">
        <f t="shared" si="34"/>
        <v>420000</v>
      </c>
      <c r="P282" s="13"/>
    </row>
    <row r="283" ht="34.8" spans="4:16">
      <c r="D283" s="5">
        <v>208</v>
      </c>
      <c r="E283" s="5">
        <v>208</v>
      </c>
      <c r="F283" s="5" t="s">
        <v>551</v>
      </c>
      <c r="G283" s="5" t="s">
        <v>552</v>
      </c>
      <c r="H283" s="5" t="s">
        <v>367</v>
      </c>
      <c r="I283" s="11" t="s">
        <v>25</v>
      </c>
      <c r="J283" s="11">
        <v>2017</v>
      </c>
      <c r="K283" s="11" t="s">
        <v>18</v>
      </c>
      <c r="L283" s="11" t="s">
        <v>19</v>
      </c>
      <c r="M283" s="11">
        <v>225</v>
      </c>
      <c r="N283" s="12">
        <v>40</v>
      </c>
      <c r="O283" s="16">
        <f t="shared" si="34"/>
        <v>9000</v>
      </c>
      <c r="P283" s="13"/>
    </row>
    <row r="284" spans="4:16">
      <c r="D284" s="5">
        <v>209</v>
      </c>
      <c r="E284" s="5">
        <v>209</v>
      </c>
      <c r="F284" s="5" t="s">
        <v>553</v>
      </c>
      <c r="G284" s="5" t="s">
        <v>554</v>
      </c>
      <c r="H284" s="5" t="s">
        <v>370</v>
      </c>
      <c r="I284" s="11" t="s">
        <v>25</v>
      </c>
      <c r="J284" s="11">
        <v>2017</v>
      </c>
      <c r="K284" s="11" t="s">
        <v>18</v>
      </c>
      <c r="L284" s="11" t="s">
        <v>19</v>
      </c>
      <c r="M284" s="11">
        <v>1900</v>
      </c>
      <c r="N284" s="12">
        <v>40</v>
      </c>
      <c r="O284" s="16">
        <f t="shared" si="34"/>
        <v>76000</v>
      </c>
      <c r="P284" s="13"/>
    </row>
    <row r="285" spans="4:16">
      <c r="D285" s="5">
        <v>210</v>
      </c>
      <c r="E285" s="5">
        <v>210</v>
      </c>
      <c r="F285" s="5" t="s">
        <v>555</v>
      </c>
      <c r="G285" s="5" t="s">
        <v>556</v>
      </c>
      <c r="H285" s="5" t="s">
        <v>373</v>
      </c>
      <c r="I285" s="11" t="s">
        <v>25</v>
      </c>
      <c r="J285" s="11">
        <v>2017</v>
      </c>
      <c r="K285" s="11" t="s">
        <v>18</v>
      </c>
      <c r="L285" s="11" t="s">
        <v>19</v>
      </c>
      <c r="M285" s="11">
        <v>710</v>
      </c>
      <c r="N285" s="12">
        <v>30</v>
      </c>
      <c r="O285" s="16">
        <f t="shared" si="34"/>
        <v>21300</v>
      </c>
      <c r="P285" s="13"/>
    </row>
    <row r="286" spans="4:16">
      <c r="D286" s="4" t="s">
        <v>2</v>
      </c>
      <c r="E286" s="4" t="s">
        <v>3</v>
      </c>
      <c r="F286" s="4" t="s">
        <v>4</v>
      </c>
      <c r="G286" s="4" t="s">
        <v>5</v>
      </c>
      <c r="H286" s="4" t="s">
        <v>6</v>
      </c>
      <c r="I286" s="9" t="s">
        <v>7</v>
      </c>
      <c r="J286" s="9" t="s">
        <v>8</v>
      </c>
      <c r="K286" s="9" t="s">
        <v>9</v>
      </c>
      <c r="L286" s="9" t="s">
        <v>10</v>
      </c>
      <c r="M286" s="9" t="s">
        <v>11</v>
      </c>
      <c r="N286" s="10" t="s">
        <v>12</v>
      </c>
      <c r="O286" s="10" t="s">
        <v>13</v>
      </c>
      <c r="P286" s="13"/>
    </row>
    <row r="287" spans="4:16">
      <c r="D287" s="4"/>
      <c r="E287" s="4"/>
      <c r="F287" s="4"/>
      <c r="G287" s="4"/>
      <c r="H287" s="4"/>
      <c r="I287" s="9"/>
      <c r="J287" s="9"/>
      <c r="K287" s="9"/>
      <c r="L287" s="9"/>
      <c r="M287" s="9"/>
      <c r="N287" s="10"/>
      <c r="O287" s="10"/>
      <c r="P287" s="13"/>
    </row>
    <row r="288" ht="52.2" spans="4:16">
      <c r="D288" s="5">
        <v>211</v>
      </c>
      <c r="E288" s="5">
        <v>211</v>
      </c>
      <c r="F288" s="5" t="s">
        <v>557</v>
      </c>
      <c r="G288" s="5" t="s">
        <v>558</v>
      </c>
      <c r="H288" s="5" t="s">
        <v>559</v>
      </c>
      <c r="I288" s="11" t="s">
        <v>25</v>
      </c>
      <c r="J288" s="11">
        <v>2062</v>
      </c>
      <c r="K288" s="11" t="s">
        <v>18</v>
      </c>
      <c r="L288" s="11" t="s">
        <v>26</v>
      </c>
      <c r="M288" s="11">
        <v>15</v>
      </c>
      <c r="N288" s="12">
        <v>120</v>
      </c>
      <c r="O288" s="16">
        <f t="shared" ref="O288:O293" si="35">N288*M288</f>
        <v>1800</v>
      </c>
      <c r="P288" s="13"/>
    </row>
    <row r="289" spans="4:16">
      <c r="D289" s="5">
        <v>212</v>
      </c>
      <c r="E289" s="5">
        <v>212</v>
      </c>
      <c r="F289" s="5" t="s">
        <v>560</v>
      </c>
      <c r="G289" s="5" t="s">
        <v>561</v>
      </c>
      <c r="H289" s="5" t="s">
        <v>562</v>
      </c>
      <c r="I289" s="11" t="s">
        <v>25</v>
      </c>
      <c r="J289" s="11">
        <v>2062</v>
      </c>
      <c r="K289" s="11" t="s">
        <v>18</v>
      </c>
      <c r="L289" s="11" t="s">
        <v>26</v>
      </c>
      <c r="M289" s="11">
        <v>130</v>
      </c>
      <c r="N289" s="12">
        <v>170</v>
      </c>
      <c r="O289" s="16">
        <f t="shared" si="35"/>
        <v>22100</v>
      </c>
      <c r="P289" s="13"/>
    </row>
    <row r="290" spans="4:16">
      <c r="D290" s="5">
        <v>213</v>
      </c>
      <c r="E290" s="5">
        <v>213</v>
      </c>
      <c r="F290" s="5" t="s">
        <v>563</v>
      </c>
      <c r="G290" s="5" t="s">
        <v>564</v>
      </c>
      <c r="H290" s="5" t="s">
        <v>565</v>
      </c>
      <c r="I290" s="11" t="s">
        <v>25</v>
      </c>
      <c r="J290" s="11">
        <v>2062</v>
      </c>
      <c r="K290" s="11" t="s">
        <v>18</v>
      </c>
      <c r="L290" s="11" t="s">
        <v>26</v>
      </c>
      <c r="M290" s="11">
        <v>150</v>
      </c>
      <c r="N290" s="12">
        <v>250</v>
      </c>
      <c r="O290" s="16">
        <f t="shared" si="35"/>
        <v>37500</v>
      </c>
      <c r="P290" s="13"/>
    </row>
    <row r="291" spans="4:16">
      <c r="D291" s="5">
        <v>214</v>
      </c>
      <c r="E291" s="5">
        <v>214</v>
      </c>
      <c r="F291" s="5" t="s">
        <v>566</v>
      </c>
      <c r="G291" s="5" t="s">
        <v>567</v>
      </c>
      <c r="H291" s="5" t="s">
        <v>568</v>
      </c>
      <c r="I291" s="11" t="s">
        <v>25</v>
      </c>
      <c r="J291" s="11">
        <v>2062</v>
      </c>
      <c r="K291" s="11" t="s">
        <v>18</v>
      </c>
      <c r="L291" s="11" t="s">
        <v>26</v>
      </c>
      <c r="M291" s="11">
        <v>60</v>
      </c>
      <c r="N291" s="12">
        <v>300</v>
      </c>
      <c r="O291" s="16">
        <f t="shared" si="35"/>
        <v>18000</v>
      </c>
      <c r="P291" s="13"/>
    </row>
    <row r="292" ht="34.8" spans="4:16">
      <c r="D292" s="5">
        <v>215</v>
      </c>
      <c r="E292" s="5">
        <v>215</v>
      </c>
      <c r="F292" s="5" t="s">
        <v>569</v>
      </c>
      <c r="G292" s="5" t="s">
        <v>570</v>
      </c>
      <c r="H292" s="5" t="s">
        <v>571</v>
      </c>
      <c r="I292" s="11" t="s">
        <v>25</v>
      </c>
      <c r="J292" s="11">
        <v>2003</v>
      </c>
      <c r="K292" s="11" t="s">
        <v>18</v>
      </c>
      <c r="L292" s="11" t="s">
        <v>33</v>
      </c>
      <c r="M292" s="11">
        <v>8</v>
      </c>
      <c r="N292" s="12">
        <v>2500</v>
      </c>
      <c r="O292" s="16">
        <f t="shared" si="35"/>
        <v>20000</v>
      </c>
      <c r="P292" s="13"/>
    </row>
    <row r="293" spans="4:16">
      <c r="D293" s="5">
        <v>216</v>
      </c>
      <c r="E293" s="5">
        <v>216</v>
      </c>
      <c r="F293" s="5" t="s">
        <v>572</v>
      </c>
      <c r="G293" s="5" t="s">
        <v>573</v>
      </c>
      <c r="H293" s="5" t="s">
        <v>574</v>
      </c>
      <c r="I293" s="11" t="s">
        <v>25</v>
      </c>
      <c r="J293" s="11">
        <v>2003</v>
      </c>
      <c r="K293" s="11" t="s">
        <v>18</v>
      </c>
      <c r="L293" s="11" t="s">
        <v>33</v>
      </c>
      <c r="M293" s="11">
        <v>3</v>
      </c>
      <c r="N293" s="12">
        <v>9000</v>
      </c>
      <c r="O293" s="16">
        <f t="shared" si="35"/>
        <v>27000</v>
      </c>
      <c r="P293" s="13"/>
    </row>
    <row r="294" spans="4:16">
      <c r="D294" s="4" t="s">
        <v>2</v>
      </c>
      <c r="E294" s="4" t="s">
        <v>3</v>
      </c>
      <c r="F294" s="4" t="s">
        <v>4</v>
      </c>
      <c r="G294" s="4" t="s">
        <v>5</v>
      </c>
      <c r="H294" s="4" t="s">
        <v>6</v>
      </c>
      <c r="I294" s="9" t="s">
        <v>7</v>
      </c>
      <c r="J294" s="9" t="s">
        <v>8</v>
      </c>
      <c r="K294" s="9" t="s">
        <v>9</v>
      </c>
      <c r="L294" s="9" t="s">
        <v>10</v>
      </c>
      <c r="M294" s="9" t="s">
        <v>11</v>
      </c>
      <c r="N294" s="10" t="s">
        <v>12</v>
      </c>
      <c r="O294" s="10" t="s">
        <v>13</v>
      </c>
      <c r="P294" s="13"/>
    </row>
    <row r="295" spans="4:16">
      <c r="D295" s="4"/>
      <c r="E295" s="4"/>
      <c r="F295" s="4"/>
      <c r="G295" s="4"/>
      <c r="H295" s="4"/>
      <c r="I295" s="9"/>
      <c r="J295" s="9"/>
      <c r="K295" s="9"/>
      <c r="L295" s="9"/>
      <c r="M295" s="9"/>
      <c r="N295" s="10"/>
      <c r="O295" s="10"/>
      <c r="P295" s="13"/>
    </row>
    <row r="296" ht="69.6" spans="4:16">
      <c r="D296" s="5">
        <v>217</v>
      </c>
      <c r="E296" s="5">
        <v>217</v>
      </c>
      <c r="F296" s="5" t="s">
        <v>575</v>
      </c>
      <c r="G296" s="5" t="s">
        <v>576</v>
      </c>
      <c r="H296" s="5" t="s">
        <v>577</v>
      </c>
      <c r="I296" s="11" t="s">
        <v>25</v>
      </c>
      <c r="J296" s="11">
        <v>2003</v>
      </c>
      <c r="K296" s="11" t="s">
        <v>18</v>
      </c>
      <c r="L296" s="11" t="s">
        <v>33</v>
      </c>
      <c r="M296" s="11">
        <v>3</v>
      </c>
      <c r="N296" s="12">
        <v>2500</v>
      </c>
      <c r="O296" s="16">
        <f t="shared" ref="O296:O301" si="36">N296*M296</f>
        <v>7500</v>
      </c>
      <c r="P296" s="13"/>
    </row>
    <row r="297" ht="34.8" spans="4:16">
      <c r="D297" s="5">
        <v>218</v>
      </c>
      <c r="E297" s="5">
        <v>218</v>
      </c>
      <c r="F297" s="5" t="s">
        <v>578</v>
      </c>
      <c r="G297" s="5" t="s">
        <v>579</v>
      </c>
      <c r="H297" s="5" t="s">
        <v>580</v>
      </c>
      <c r="I297" s="11" t="s">
        <v>17</v>
      </c>
      <c r="J297" s="11"/>
      <c r="K297" s="11" t="s">
        <v>18</v>
      </c>
      <c r="L297" s="11" t="s">
        <v>33</v>
      </c>
      <c r="M297" s="11">
        <v>6</v>
      </c>
      <c r="N297" s="12">
        <v>400</v>
      </c>
      <c r="O297" s="16">
        <f t="shared" si="36"/>
        <v>2400</v>
      </c>
      <c r="P297" s="13"/>
    </row>
    <row r="298" ht="52.2" spans="4:16">
      <c r="D298" s="5">
        <v>219</v>
      </c>
      <c r="E298" s="5">
        <v>219</v>
      </c>
      <c r="F298" s="5" t="s">
        <v>581</v>
      </c>
      <c r="G298" s="5" t="s">
        <v>582</v>
      </c>
      <c r="H298" s="5" t="s">
        <v>583</v>
      </c>
      <c r="I298" s="11" t="s">
        <v>25</v>
      </c>
      <c r="J298" s="11">
        <v>2062</v>
      </c>
      <c r="K298" s="11" t="s">
        <v>18</v>
      </c>
      <c r="L298" s="11" t="s">
        <v>26</v>
      </c>
      <c r="M298" s="11">
        <v>10</v>
      </c>
      <c r="N298" s="12">
        <v>40</v>
      </c>
      <c r="O298" s="16">
        <f t="shared" si="36"/>
        <v>400</v>
      </c>
      <c r="P298" s="13"/>
    </row>
    <row r="299" spans="4:16">
      <c r="D299" s="5">
        <v>220</v>
      </c>
      <c r="E299" s="5">
        <v>220</v>
      </c>
      <c r="F299" s="5" t="s">
        <v>584</v>
      </c>
      <c r="G299" s="5" t="s">
        <v>585</v>
      </c>
      <c r="H299" s="5" t="s">
        <v>586</v>
      </c>
      <c r="I299" s="11" t="s">
        <v>25</v>
      </c>
      <c r="J299" s="11">
        <v>2062</v>
      </c>
      <c r="K299" s="11" t="s">
        <v>18</v>
      </c>
      <c r="L299" s="11" t="s">
        <v>26</v>
      </c>
      <c r="M299" s="11">
        <v>25</v>
      </c>
      <c r="N299" s="12">
        <v>50</v>
      </c>
      <c r="O299" s="16">
        <f t="shared" si="36"/>
        <v>1250</v>
      </c>
      <c r="P299" s="13"/>
    </row>
    <row r="300" spans="4:16">
      <c r="D300" s="5">
        <v>221</v>
      </c>
      <c r="E300" s="5">
        <v>221</v>
      </c>
      <c r="F300" s="5" t="s">
        <v>587</v>
      </c>
      <c r="G300" s="5" t="s">
        <v>588</v>
      </c>
      <c r="H300" s="5" t="s">
        <v>589</v>
      </c>
      <c r="I300" s="11" t="s">
        <v>25</v>
      </c>
      <c r="J300" s="11">
        <v>2062</v>
      </c>
      <c r="K300" s="11" t="s">
        <v>18</v>
      </c>
      <c r="L300" s="11" t="s">
        <v>26</v>
      </c>
      <c r="M300" s="11">
        <v>5</v>
      </c>
      <c r="N300" s="12">
        <v>60</v>
      </c>
      <c r="O300" s="16">
        <f t="shared" si="36"/>
        <v>300</v>
      </c>
      <c r="P300" s="13"/>
    </row>
    <row r="301" spans="4:16">
      <c r="D301" s="5">
        <v>222</v>
      </c>
      <c r="E301" s="5">
        <v>222</v>
      </c>
      <c r="F301" s="5" t="s">
        <v>590</v>
      </c>
      <c r="G301" s="5" t="s">
        <v>591</v>
      </c>
      <c r="H301" s="5" t="s">
        <v>592</v>
      </c>
      <c r="I301" s="11" t="s">
        <v>25</v>
      </c>
      <c r="J301" s="11">
        <v>2062</v>
      </c>
      <c r="K301" s="11" t="s">
        <v>18</v>
      </c>
      <c r="L301" s="11" t="s">
        <v>26</v>
      </c>
      <c r="M301" s="11">
        <v>90</v>
      </c>
      <c r="N301" s="12">
        <v>70</v>
      </c>
      <c r="O301" s="16">
        <f t="shared" si="36"/>
        <v>6300</v>
      </c>
      <c r="P301" s="13"/>
    </row>
    <row r="302" spans="4:16">
      <c r="D302" s="4" t="s">
        <v>37</v>
      </c>
      <c r="E302" s="4" t="s">
        <v>3</v>
      </c>
      <c r="F302" s="4" t="s">
        <v>4</v>
      </c>
      <c r="G302" s="4" t="s">
        <v>5</v>
      </c>
      <c r="H302" s="4" t="s">
        <v>6</v>
      </c>
      <c r="I302" s="9" t="s">
        <v>7</v>
      </c>
      <c r="J302" s="9" t="s">
        <v>8</v>
      </c>
      <c r="K302" s="9" t="s">
        <v>9</v>
      </c>
      <c r="L302" s="9" t="s">
        <v>10</v>
      </c>
      <c r="M302" s="9" t="s">
        <v>11</v>
      </c>
      <c r="N302" s="10" t="s">
        <v>12</v>
      </c>
      <c r="O302" s="10" t="s">
        <v>13</v>
      </c>
      <c r="P302" s="13"/>
    </row>
    <row r="303" spans="4:16">
      <c r="D303" s="4"/>
      <c r="E303" s="4"/>
      <c r="F303" s="4"/>
      <c r="G303" s="4"/>
      <c r="H303" s="4"/>
      <c r="I303" s="9"/>
      <c r="J303" s="9"/>
      <c r="K303" s="9"/>
      <c r="L303" s="9"/>
      <c r="M303" s="9"/>
      <c r="N303" s="10"/>
      <c r="O303" s="10"/>
      <c r="P303" s="13"/>
    </row>
    <row r="304" spans="4:16">
      <c r="D304" s="5">
        <v>223</v>
      </c>
      <c r="E304" s="5">
        <v>223</v>
      </c>
      <c r="F304" s="5" t="s">
        <v>593</v>
      </c>
      <c r="G304" s="5" t="s">
        <v>594</v>
      </c>
      <c r="H304" s="5" t="s">
        <v>595</v>
      </c>
      <c r="I304" s="11" t="s">
        <v>25</v>
      </c>
      <c r="J304" s="11">
        <v>2062</v>
      </c>
      <c r="K304" s="11" t="s">
        <v>18</v>
      </c>
      <c r="L304" s="11" t="s">
        <v>26</v>
      </c>
      <c r="M304" s="11">
        <v>10</v>
      </c>
      <c r="N304" s="12">
        <v>100</v>
      </c>
      <c r="O304" s="16">
        <f t="shared" ref="O304:O309" si="37">N304*M304</f>
        <v>1000</v>
      </c>
      <c r="P304" s="13"/>
    </row>
    <row r="305" spans="4:16">
      <c r="D305" s="5">
        <v>224</v>
      </c>
      <c r="E305" s="5">
        <v>224</v>
      </c>
      <c r="F305" s="5" t="s">
        <v>596</v>
      </c>
      <c r="G305" s="5" t="s">
        <v>597</v>
      </c>
      <c r="H305" s="5" t="s">
        <v>598</v>
      </c>
      <c r="I305" s="11" t="s">
        <v>25</v>
      </c>
      <c r="J305" s="11">
        <v>2062</v>
      </c>
      <c r="K305" s="11" t="s">
        <v>18</v>
      </c>
      <c r="L305" s="11" t="s">
        <v>26</v>
      </c>
      <c r="M305" s="11">
        <v>120</v>
      </c>
      <c r="N305" s="12">
        <v>120</v>
      </c>
      <c r="O305" s="16">
        <f t="shared" si="37"/>
        <v>14400</v>
      </c>
      <c r="P305" s="13"/>
    </row>
    <row r="306" spans="4:16">
      <c r="D306" s="5">
        <v>225</v>
      </c>
      <c r="E306" s="5">
        <v>225</v>
      </c>
      <c r="F306" s="5" t="s">
        <v>599</v>
      </c>
      <c r="G306" s="5" t="s">
        <v>600</v>
      </c>
      <c r="H306" s="5" t="s">
        <v>601</v>
      </c>
      <c r="I306" s="11" t="s">
        <v>25</v>
      </c>
      <c r="J306" s="11">
        <v>2062</v>
      </c>
      <c r="K306" s="11" t="s">
        <v>18</v>
      </c>
      <c r="L306" s="11" t="s">
        <v>26</v>
      </c>
      <c r="M306" s="11">
        <v>5</v>
      </c>
      <c r="N306" s="12">
        <v>160</v>
      </c>
      <c r="O306" s="16">
        <f t="shared" si="37"/>
        <v>800</v>
      </c>
      <c r="P306" s="13"/>
    </row>
    <row r="307" ht="87" spans="4:16">
      <c r="D307" s="5">
        <v>226</v>
      </c>
      <c r="E307" s="5">
        <v>226</v>
      </c>
      <c r="F307" s="5" t="s">
        <v>602</v>
      </c>
      <c r="G307" s="5" t="s">
        <v>603</v>
      </c>
      <c r="H307" s="5" t="s">
        <v>604</v>
      </c>
      <c r="I307" s="11" t="s">
        <v>17</v>
      </c>
      <c r="J307" s="11"/>
      <c r="K307" s="11" t="s">
        <v>18</v>
      </c>
      <c r="L307" s="11" t="s">
        <v>33</v>
      </c>
      <c r="M307" s="11">
        <v>1</v>
      </c>
      <c r="N307" s="12">
        <v>55000</v>
      </c>
      <c r="O307" s="16">
        <f t="shared" si="37"/>
        <v>55000</v>
      </c>
      <c r="P307" s="13"/>
    </row>
    <row r="308" ht="52.2" spans="4:16">
      <c r="D308" s="5">
        <v>227</v>
      </c>
      <c r="E308" s="5">
        <v>227</v>
      </c>
      <c r="F308" s="5" t="s">
        <v>605</v>
      </c>
      <c r="G308" s="5" t="s">
        <v>606</v>
      </c>
      <c r="H308" s="5" t="s">
        <v>607</v>
      </c>
      <c r="I308" s="11" t="s">
        <v>25</v>
      </c>
      <c r="J308" s="11">
        <v>2054</v>
      </c>
      <c r="K308" s="11" t="s">
        <v>18</v>
      </c>
      <c r="L308" s="11" t="s">
        <v>26</v>
      </c>
      <c r="M308" s="11">
        <v>15</v>
      </c>
      <c r="N308" s="12">
        <v>160</v>
      </c>
      <c r="O308" s="16">
        <f t="shared" si="37"/>
        <v>2400</v>
      </c>
      <c r="P308" s="13"/>
    </row>
    <row r="309" ht="34.8" spans="4:16">
      <c r="D309" s="5">
        <v>228</v>
      </c>
      <c r="E309" s="5">
        <v>228</v>
      </c>
      <c r="F309" s="5" t="s">
        <v>608</v>
      </c>
      <c r="G309" s="5" t="s">
        <v>609</v>
      </c>
      <c r="H309" s="5" t="s">
        <v>610</v>
      </c>
      <c r="I309" s="11" t="s">
        <v>25</v>
      </c>
      <c r="J309" s="11">
        <v>2054</v>
      </c>
      <c r="K309" s="11" t="s">
        <v>18</v>
      </c>
      <c r="L309" s="11" t="s">
        <v>26</v>
      </c>
      <c r="M309" s="11">
        <v>120</v>
      </c>
      <c r="N309" s="12">
        <v>250</v>
      </c>
      <c r="O309" s="16">
        <f t="shared" si="37"/>
        <v>30000</v>
      </c>
      <c r="P309" s="13"/>
    </row>
    <row r="310" spans="4:16">
      <c r="D310" s="4" t="s">
        <v>2</v>
      </c>
      <c r="E310" s="4" t="s">
        <v>3</v>
      </c>
      <c r="F310" s="4" t="s">
        <v>4</v>
      </c>
      <c r="G310" s="4" t="s">
        <v>5</v>
      </c>
      <c r="H310" s="4" t="s">
        <v>6</v>
      </c>
      <c r="I310" s="9" t="s">
        <v>7</v>
      </c>
      <c r="J310" s="9" t="s">
        <v>8</v>
      </c>
      <c r="K310" s="9" t="s">
        <v>9</v>
      </c>
      <c r="L310" s="9" t="s">
        <v>10</v>
      </c>
      <c r="M310" s="9" t="s">
        <v>11</v>
      </c>
      <c r="N310" s="10" t="s">
        <v>12</v>
      </c>
      <c r="O310" s="10" t="s">
        <v>13</v>
      </c>
      <c r="P310" s="13"/>
    </row>
    <row r="311" spans="4:16">
      <c r="D311" s="4"/>
      <c r="E311" s="4"/>
      <c r="F311" s="4"/>
      <c r="G311" s="4"/>
      <c r="H311" s="4"/>
      <c r="I311" s="9"/>
      <c r="J311" s="9"/>
      <c r="K311" s="9"/>
      <c r="L311" s="9"/>
      <c r="M311" s="9"/>
      <c r="N311" s="10"/>
      <c r="O311" s="10"/>
      <c r="P311" s="13"/>
    </row>
    <row r="312" ht="52.2" spans="4:16">
      <c r="D312" s="5">
        <v>229</v>
      </c>
      <c r="E312" s="5">
        <v>229</v>
      </c>
      <c r="F312" s="5" t="s">
        <v>611</v>
      </c>
      <c r="G312" s="5" t="s">
        <v>612</v>
      </c>
      <c r="H312" s="5" t="s">
        <v>613</v>
      </c>
      <c r="I312" s="11" t="s">
        <v>17</v>
      </c>
      <c r="J312" s="11"/>
      <c r="K312" s="11" t="s">
        <v>18</v>
      </c>
      <c r="L312" s="11" t="s">
        <v>33</v>
      </c>
      <c r="M312" s="11">
        <v>4</v>
      </c>
      <c r="N312" s="12">
        <v>6000</v>
      </c>
      <c r="O312" s="16">
        <f t="shared" ref="O312:O317" si="38">N312*M312</f>
        <v>24000</v>
      </c>
      <c r="P312" s="13"/>
    </row>
    <row r="313" ht="121.8" spans="4:16">
      <c r="D313" s="5">
        <v>230</v>
      </c>
      <c r="E313" s="5">
        <v>230</v>
      </c>
      <c r="F313" s="5" t="s">
        <v>614</v>
      </c>
      <c r="G313" s="5" t="s">
        <v>615</v>
      </c>
      <c r="H313" s="5" t="s">
        <v>616</v>
      </c>
      <c r="I313" s="11" t="s">
        <v>17</v>
      </c>
      <c r="J313" s="11"/>
      <c r="K313" s="11" t="s">
        <v>18</v>
      </c>
      <c r="L313" s="11" t="s">
        <v>33</v>
      </c>
      <c r="M313" s="11">
        <v>1</v>
      </c>
      <c r="N313" s="12">
        <v>75000</v>
      </c>
      <c r="O313" s="16">
        <f t="shared" si="38"/>
        <v>75000</v>
      </c>
      <c r="P313" s="13"/>
    </row>
    <row r="314" ht="34.8" spans="4:16">
      <c r="D314" s="5">
        <v>231</v>
      </c>
      <c r="E314" s="5">
        <v>231</v>
      </c>
      <c r="F314" s="5" t="s">
        <v>617</v>
      </c>
      <c r="G314" s="5" t="s">
        <v>618</v>
      </c>
      <c r="H314" s="5" t="s">
        <v>619</v>
      </c>
      <c r="I314" s="11" t="s">
        <v>25</v>
      </c>
      <c r="J314" s="11">
        <v>2102</v>
      </c>
      <c r="K314" s="11" t="s">
        <v>18</v>
      </c>
      <c r="L314" s="11" t="s">
        <v>26</v>
      </c>
      <c r="M314" s="11">
        <v>50</v>
      </c>
      <c r="N314" s="12">
        <v>150</v>
      </c>
      <c r="O314" s="16">
        <f t="shared" si="38"/>
        <v>7500</v>
      </c>
      <c r="P314" s="13"/>
    </row>
    <row r="315" spans="4:16">
      <c r="D315" s="5">
        <v>232</v>
      </c>
      <c r="E315" s="5">
        <v>232</v>
      </c>
      <c r="F315" s="5" t="s">
        <v>620</v>
      </c>
      <c r="G315" s="5" t="s">
        <v>621</v>
      </c>
      <c r="H315" s="5" t="s">
        <v>622</v>
      </c>
      <c r="I315" s="11" t="s">
        <v>25</v>
      </c>
      <c r="J315" s="11">
        <v>2065</v>
      </c>
      <c r="K315" s="11" t="s">
        <v>18</v>
      </c>
      <c r="L315" s="11" t="s">
        <v>26</v>
      </c>
      <c r="M315" s="11">
        <v>10</v>
      </c>
      <c r="N315" s="12">
        <v>250</v>
      </c>
      <c r="O315" s="16">
        <f t="shared" si="38"/>
        <v>2500</v>
      </c>
      <c r="P315" s="13"/>
    </row>
    <row r="316" spans="4:16">
      <c r="D316" s="5">
        <v>233</v>
      </c>
      <c r="E316" s="5">
        <v>233</v>
      </c>
      <c r="F316" s="5" t="s">
        <v>623</v>
      </c>
      <c r="G316" s="5" t="s">
        <v>624</v>
      </c>
      <c r="H316" s="5" t="s">
        <v>625</v>
      </c>
      <c r="I316" s="11" t="s">
        <v>25</v>
      </c>
      <c r="J316" s="11">
        <v>2068</v>
      </c>
      <c r="K316" s="11" t="s">
        <v>18</v>
      </c>
      <c r="L316" s="11" t="s">
        <v>33</v>
      </c>
      <c r="M316" s="11">
        <v>2</v>
      </c>
      <c r="N316" s="12">
        <v>2500</v>
      </c>
      <c r="O316" s="16">
        <f t="shared" si="38"/>
        <v>5000</v>
      </c>
      <c r="P316" s="13"/>
    </row>
    <row r="317" ht="34.8" spans="4:16">
      <c r="D317" s="5">
        <v>234</v>
      </c>
      <c r="E317" s="5">
        <v>234</v>
      </c>
      <c r="F317" s="5" t="s">
        <v>626</v>
      </c>
      <c r="G317" s="5" t="s">
        <v>627</v>
      </c>
      <c r="H317" s="5" t="s">
        <v>628</v>
      </c>
      <c r="I317" s="11" t="s">
        <v>25</v>
      </c>
      <c r="J317" s="11">
        <v>2063</v>
      </c>
      <c r="K317" s="11" t="s">
        <v>629</v>
      </c>
      <c r="L317" s="11" t="s">
        <v>33</v>
      </c>
      <c r="M317" s="11">
        <v>3</v>
      </c>
      <c r="N317" s="12">
        <v>9000</v>
      </c>
      <c r="O317" s="16">
        <f t="shared" si="38"/>
        <v>27000</v>
      </c>
      <c r="P317" s="13"/>
    </row>
    <row r="318" spans="4:16">
      <c r="D318" s="4" t="s">
        <v>390</v>
      </c>
      <c r="E318" s="4" t="s">
        <v>3</v>
      </c>
      <c r="F318" s="4" t="s">
        <v>4</v>
      </c>
      <c r="G318" s="4" t="s">
        <v>5</v>
      </c>
      <c r="H318" s="4" t="s">
        <v>6</v>
      </c>
      <c r="I318" s="9" t="s">
        <v>7</v>
      </c>
      <c r="J318" s="9" t="s">
        <v>8</v>
      </c>
      <c r="K318" s="9" t="s">
        <v>9</v>
      </c>
      <c r="L318" s="9" t="s">
        <v>10</v>
      </c>
      <c r="M318" s="9" t="s">
        <v>11</v>
      </c>
      <c r="N318" s="10" t="s">
        <v>12</v>
      </c>
      <c r="O318" s="10" t="s">
        <v>13</v>
      </c>
      <c r="P318" s="13"/>
    </row>
    <row r="319" spans="4:16">
      <c r="D319" s="4"/>
      <c r="E319" s="4"/>
      <c r="F319" s="4"/>
      <c r="G319" s="4"/>
      <c r="H319" s="4"/>
      <c r="I319" s="9"/>
      <c r="J319" s="9"/>
      <c r="K319" s="9"/>
      <c r="L319" s="9"/>
      <c r="M319" s="9"/>
      <c r="N319" s="10"/>
      <c r="O319" s="10"/>
      <c r="P319" s="13"/>
    </row>
    <row r="320" ht="69.6" spans="4:16">
      <c r="D320" s="5">
        <v>235</v>
      </c>
      <c r="E320" s="5">
        <v>235</v>
      </c>
      <c r="F320" s="5" t="s">
        <v>630</v>
      </c>
      <c r="G320" s="5" t="s">
        <v>631</v>
      </c>
      <c r="H320" s="5" t="s">
        <v>632</v>
      </c>
      <c r="I320" s="11" t="s">
        <v>25</v>
      </c>
      <c r="J320" s="11">
        <v>2068</v>
      </c>
      <c r="K320" s="11" t="s">
        <v>18</v>
      </c>
      <c r="L320" s="11" t="s">
        <v>33</v>
      </c>
      <c r="M320" s="11">
        <v>3</v>
      </c>
      <c r="N320" s="12">
        <v>6000</v>
      </c>
      <c r="O320" s="16">
        <f t="shared" ref="O320:O325" si="39">N320*M320</f>
        <v>18000</v>
      </c>
      <c r="P320" s="13"/>
    </row>
    <row r="321" ht="34.8" spans="4:16">
      <c r="D321" s="5">
        <v>236</v>
      </c>
      <c r="E321" s="5">
        <v>236</v>
      </c>
      <c r="F321" s="5" t="s">
        <v>633</v>
      </c>
      <c r="G321" s="5" t="s">
        <v>634</v>
      </c>
      <c r="H321" s="5" t="s">
        <v>635</v>
      </c>
      <c r="I321" s="11" t="s">
        <v>25</v>
      </c>
      <c r="J321" s="11">
        <v>2058</v>
      </c>
      <c r="K321" s="11" t="s">
        <v>18</v>
      </c>
      <c r="L321" s="11" t="s">
        <v>33</v>
      </c>
      <c r="M321" s="11">
        <v>1</v>
      </c>
      <c r="N321" s="12">
        <v>700</v>
      </c>
      <c r="O321" s="16">
        <f t="shared" si="39"/>
        <v>700</v>
      </c>
      <c r="P321" s="13"/>
    </row>
    <row r="322" ht="34.8" spans="4:16">
      <c r="D322" s="5">
        <v>237</v>
      </c>
      <c r="E322" s="5">
        <v>237</v>
      </c>
      <c r="F322" s="5" t="s">
        <v>636</v>
      </c>
      <c r="G322" s="5" t="s">
        <v>637</v>
      </c>
      <c r="H322" s="5" t="s">
        <v>638</v>
      </c>
      <c r="I322" s="11" t="s">
        <v>25</v>
      </c>
      <c r="J322" s="11">
        <v>2058</v>
      </c>
      <c r="K322" s="11" t="s">
        <v>18</v>
      </c>
      <c r="L322" s="11" t="s">
        <v>33</v>
      </c>
      <c r="M322" s="11">
        <v>1</v>
      </c>
      <c r="N322" s="12">
        <v>700</v>
      </c>
      <c r="O322" s="16">
        <f t="shared" si="39"/>
        <v>700</v>
      </c>
      <c r="P322" s="13"/>
    </row>
    <row r="323" spans="4:16">
      <c r="D323" s="5">
        <v>238</v>
      </c>
      <c r="E323" s="5">
        <v>238</v>
      </c>
      <c r="F323" s="5" t="s">
        <v>639</v>
      </c>
      <c r="G323" s="5" t="s">
        <v>640</v>
      </c>
      <c r="H323" s="5" t="s">
        <v>641</v>
      </c>
      <c r="I323" s="11" t="s">
        <v>25</v>
      </c>
      <c r="J323" s="11">
        <v>2058</v>
      </c>
      <c r="K323" s="11" t="s">
        <v>18</v>
      </c>
      <c r="L323" s="11" t="s">
        <v>33</v>
      </c>
      <c r="M323" s="11">
        <v>1</v>
      </c>
      <c r="N323" s="12">
        <v>250</v>
      </c>
      <c r="O323" s="16">
        <f t="shared" si="39"/>
        <v>250</v>
      </c>
      <c r="P323" s="13"/>
    </row>
    <row r="324" ht="52.2" spans="4:16">
      <c r="D324" s="5">
        <v>239</v>
      </c>
      <c r="E324" s="5">
        <v>239</v>
      </c>
      <c r="F324" s="5" t="s">
        <v>642</v>
      </c>
      <c r="G324" s="5" t="s">
        <v>643</v>
      </c>
      <c r="H324" s="5" t="s">
        <v>644</v>
      </c>
      <c r="I324" s="11" t="s">
        <v>25</v>
      </c>
      <c r="J324" s="11">
        <v>2066</v>
      </c>
      <c r="K324" s="11" t="s">
        <v>18</v>
      </c>
      <c r="L324" s="11" t="s">
        <v>26</v>
      </c>
      <c r="M324" s="11">
        <v>20</v>
      </c>
      <c r="N324" s="12">
        <v>160</v>
      </c>
      <c r="O324" s="16">
        <f t="shared" si="39"/>
        <v>3200</v>
      </c>
      <c r="P324" s="13"/>
    </row>
    <row r="325" spans="4:16">
      <c r="D325" s="5">
        <v>240</v>
      </c>
      <c r="E325" s="5">
        <v>240</v>
      </c>
      <c r="F325" s="5" t="s">
        <v>645</v>
      </c>
      <c r="G325" s="5" t="s">
        <v>646</v>
      </c>
      <c r="H325" s="5" t="s">
        <v>647</v>
      </c>
      <c r="I325" s="11" t="s">
        <v>25</v>
      </c>
      <c r="J325" s="11">
        <v>2066</v>
      </c>
      <c r="K325" s="11" t="s">
        <v>18</v>
      </c>
      <c r="L325" s="11" t="s">
        <v>26</v>
      </c>
      <c r="M325" s="11">
        <v>15</v>
      </c>
      <c r="N325" s="12">
        <v>120</v>
      </c>
      <c r="O325" s="16">
        <f t="shared" si="39"/>
        <v>1800</v>
      </c>
      <c r="P325" s="13"/>
    </row>
    <row r="326" spans="4:16">
      <c r="D326" s="4" t="s">
        <v>2</v>
      </c>
      <c r="E326" s="4" t="s">
        <v>3</v>
      </c>
      <c r="F326" s="4" t="s">
        <v>4</v>
      </c>
      <c r="G326" s="4" t="s">
        <v>5</v>
      </c>
      <c r="H326" s="4" t="s">
        <v>6</v>
      </c>
      <c r="I326" s="9" t="s">
        <v>7</v>
      </c>
      <c r="J326" s="9" t="s">
        <v>8</v>
      </c>
      <c r="K326" s="9" t="s">
        <v>9</v>
      </c>
      <c r="L326" s="9" t="s">
        <v>10</v>
      </c>
      <c r="M326" s="9" t="s">
        <v>11</v>
      </c>
      <c r="N326" s="10" t="s">
        <v>12</v>
      </c>
      <c r="O326" s="10" t="s">
        <v>13</v>
      </c>
      <c r="P326" s="13"/>
    </row>
    <row r="327" spans="4:16">
      <c r="D327" s="4"/>
      <c r="E327" s="4"/>
      <c r="F327" s="4"/>
      <c r="G327" s="4"/>
      <c r="H327" s="4"/>
      <c r="I327" s="9"/>
      <c r="J327" s="9"/>
      <c r="K327" s="9"/>
      <c r="L327" s="9"/>
      <c r="M327" s="9"/>
      <c r="N327" s="10"/>
      <c r="O327" s="10"/>
      <c r="P327" s="13"/>
    </row>
    <row r="328" spans="4:16">
      <c r="D328" s="5">
        <v>241</v>
      </c>
      <c r="E328" s="5">
        <v>241</v>
      </c>
      <c r="F328" s="5" t="s">
        <v>648</v>
      </c>
      <c r="G328" s="5" t="s">
        <v>649</v>
      </c>
      <c r="H328" s="5" t="s">
        <v>650</v>
      </c>
      <c r="I328" s="11" t="s">
        <v>25</v>
      </c>
      <c r="J328" s="11">
        <v>2066</v>
      </c>
      <c r="K328" s="11" t="s">
        <v>18</v>
      </c>
      <c r="L328" s="11" t="s">
        <v>26</v>
      </c>
      <c r="M328" s="11">
        <v>2</v>
      </c>
      <c r="N328" s="12">
        <v>70</v>
      </c>
      <c r="O328" s="16">
        <f t="shared" ref="O328:O333" si="40">N328*M328</f>
        <v>140</v>
      </c>
      <c r="P328" s="13"/>
    </row>
    <row r="329" spans="4:16">
      <c r="D329" s="5">
        <v>242</v>
      </c>
      <c r="E329" s="5">
        <v>242</v>
      </c>
      <c r="F329" s="5" t="s">
        <v>651</v>
      </c>
      <c r="G329" s="5" t="s">
        <v>652</v>
      </c>
      <c r="H329" s="5" t="s">
        <v>653</v>
      </c>
      <c r="I329" s="11" t="s">
        <v>25</v>
      </c>
      <c r="J329" s="11">
        <v>2066</v>
      </c>
      <c r="K329" s="11" t="s">
        <v>18</v>
      </c>
      <c r="L329" s="11" t="s">
        <v>26</v>
      </c>
      <c r="M329" s="11">
        <v>5</v>
      </c>
      <c r="N329" s="12">
        <v>40</v>
      </c>
      <c r="O329" s="16">
        <f t="shared" si="40"/>
        <v>200</v>
      </c>
      <c r="P329" s="13"/>
    </row>
    <row r="330" ht="34.8" spans="4:16">
      <c r="D330" s="5">
        <v>243</v>
      </c>
      <c r="E330" s="5">
        <v>243</v>
      </c>
      <c r="F330" s="5" t="s">
        <v>654</v>
      </c>
      <c r="G330" s="5" t="s">
        <v>655</v>
      </c>
      <c r="H330" s="5" t="s">
        <v>656</v>
      </c>
      <c r="I330" s="11" t="s">
        <v>25</v>
      </c>
      <c r="J330" s="11">
        <v>2058</v>
      </c>
      <c r="K330" s="11" t="s">
        <v>18</v>
      </c>
      <c r="L330" s="11" t="s">
        <v>33</v>
      </c>
      <c r="M330" s="11">
        <v>1</v>
      </c>
      <c r="N330" s="12">
        <v>700</v>
      </c>
      <c r="O330" s="16">
        <f t="shared" si="40"/>
        <v>700</v>
      </c>
      <c r="P330" s="13"/>
    </row>
    <row r="331" ht="34.8" spans="4:16">
      <c r="D331" s="5">
        <v>244</v>
      </c>
      <c r="E331" s="5">
        <v>244</v>
      </c>
      <c r="F331" s="5" t="s">
        <v>657</v>
      </c>
      <c r="G331" s="5" t="s">
        <v>658</v>
      </c>
      <c r="H331" s="5" t="s">
        <v>659</v>
      </c>
      <c r="I331" s="11" t="s">
        <v>25</v>
      </c>
      <c r="J331" s="11">
        <v>2058</v>
      </c>
      <c r="K331" s="11" t="s">
        <v>18</v>
      </c>
      <c r="L331" s="11" t="s">
        <v>33</v>
      </c>
      <c r="M331" s="11">
        <v>1</v>
      </c>
      <c r="N331" s="12">
        <v>400</v>
      </c>
      <c r="O331" s="16">
        <f t="shared" si="40"/>
        <v>400</v>
      </c>
      <c r="P331" s="13"/>
    </row>
    <row r="332" spans="4:16">
      <c r="D332" s="5">
        <v>245</v>
      </c>
      <c r="E332" s="5">
        <v>245</v>
      </c>
      <c r="F332" s="5" t="s">
        <v>660</v>
      </c>
      <c r="G332" s="5" t="s">
        <v>661</v>
      </c>
      <c r="H332" s="5" t="s">
        <v>662</v>
      </c>
      <c r="I332" s="11" t="s">
        <v>25</v>
      </c>
      <c r="J332" s="11">
        <v>2058</v>
      </c>
      <c r="K332" s="11" t="s">
        <v>18</v>
      </c>
      <c r="L332" s="11" t="s">
        <v>33</v>
      </c>
      <c r="M332" s="11">
        <v>1</v>
      </c>
      <c r="N332" s="12">
        <v>400</v>
      </c>
      <c r="O332" s="16">
        <f t="shared" si="40"/>
        <v>400</v>
      </c>
      <c r="P332" s="13"/>
    </row>
    <row r="333" spans="4:16">
      <c r="D333" s="5">
        <v>246</v>
      </c>
      <c r="E333" s="5">
        <v>246</v>
      </c>
      <c r="F333" s="5" t="s">
        <v>663</v>
      </c>
      <c r="G333" s="5" t="s">
        <v>664</v>
      </c>
      <c r="H333" s="5" t="s">
        <v>665</v>
      </c>
      <c r="I333" s="11" t="s">
        <v>25</v>
      </c>
      <c r="J333" s="11">
        <v>2058</v>
      </c>
      <c r="K333" s="11" t="s">
        <v>18</v>
      </c>
      <c r="L333" s="11" t="s">
        <v>33</v>
      </c>
      <c r="M333" s="11">
        <v>1</v>
      </c>
      <c r="N333" s="12">
        <v>400</v>
      </c>
      <c r="O333" s="16">
        <f t="shared" si="40"/>
        <v>400</v>
      </c>
      <c r="P333" s="13"/>
    </row>
    <row r="334" spans="4:16">
      <c r="D334" s="4" t="s">
        <v>2</v>
      </c>
      <c r="E334" s="4" t="s">
        <v>3</v>
      </c>
      <c r="F334" s="4" t="s">
        <v>4</v>
      </c>
      <c r="G334" s="4" t="s">
        <v>5</v>
      </c>
      <c r="H334" s="4" t="s">
        <v>6</v>
      </c>
      <c r="I334" s="9" t="s">
        <v>7</v>
      </c>
      <c r="J334" s="9" t="s">
        <v>8</v>
      </c>
      <c r="K334" s="9" t="s">
        <v>9</v>
      </c>
      <c r="L334" s="9" t="s">
        <v>10</v>
      </c>
      <c r="M334" s="9" t="s">
        <v>11</v>
      </c>
      <c r="N334" s="10" t="s">
        <v>12</v>
      </c>
      <c r="O334" s="10" t="s">
        <v>13</v>
      </c>
      <c r="P334" s="13"/>
    </row>
    <row r="335" spans="4:16">
      <c r="D335" s="4"/>
      <c r="E335" s="4"/>
      <c r="F335" s="4"/>
      <c r="G335" s="4"/>
      <c r="H335" s="4"/>
      <c r="I335" s="9"/>
      <c r="J335" s="9"/>
      <c r="K335" s="9"/>
      <c r="L335" s="9"/>
      <c r="M335" s="9"/>
      <c r="N335" s="10"/>
      <c r="O335" s="10"/>
      <c r="P335" s="13"/>
    </row>
    <row r="336" ht="52.2" spans="4:16">
      <c r="D336" s="5">
        <v>247</v>
      </c>
      <c r="E336" s="5">
        <v>247</v>
      </c>
      <c r="F336" s="5" t="s">
        <v>666</v>
      </c>
      <c r="G336" s="5" t="s">
        <v>667</v>
      </c>
      <c r="H336" s="5" t="s">
        <v>668</v>
      </c>
      <c r="I336" s="11" t="s">
        <v>25</v>
      </c>
      <c r="J336" s="11">
        <v>2066</v>
      </c>
      <c r="K336" s="11" t="s">
        <v>18</v>
      </c>
      <c r="L336" s="11" t="s">
        <v>26</v>
      </c>
      <c r="M336" s="11">
        <v>15</v>
      </c>
      <c r="N336" s="12">
        <v>40</v>
      </c>
      <c r="O336" s="16">
        <f t="shared" ref="O336:O341" si="41">N336*M336</f>
        <v>600</v>
      </c>
      <c r="P336" s="13"/>
    </row>
    <row r="337" spans="4:16">
      <c r="D337" s="5">
        <v>248</v>
      </c>
      <c r="E337" s="5">
        <v>248</v>
      </c>
      <c r="F337" s="5" t="s">
        <v>669</v>
      </c>
      <c r="G337" s="5" t="s">
        <v>670</v>
      </c>
      <c r="H337" s="5" t="s">
        <v>671</v>
      </c>
      <c r="I337" s="11" t="s">
        <v>25</v>
      </c>
      <c r="J337" s="11">
        <v>2066</v>
      </c>
      <c r="K337" s="11" t="s">
        <v>18</v>
      </c>
      <c r="L337" s="11" t="s">
        <v>26</v>
      </c>
      <c r="M337" s="11">
        <v>6</v>
      </c>
      <c r="N337" s="12">
        <v>40</v>
      </c>
      <c r="O337" s="16">
        <f t="shared" si="41"/>
        <v>240</v>
      </c>
      <c r="P337" s="13"/>
    </row>
    <row r="338" ht="34.8" spans="4:16">
      <c r="D338" s="5">
        <v>249</v>
      </c>
      <c r="E338" s="5">
        <v>249</v>
      </c>
      <c r="F338" s="5" t="s">
        <v>672</v>
      </c>
      <c r="G338" s="5" t="s">
        <v>673</v>
      </c>
      <c r="H338" s="5" t="s">
        <v>674</v>
      </c>
      <c r="I338" s="11" t="s">
        <v>25</v>
      </c>
      <c r="J338" s="11">
        <v>2063</v>
      </c>
      <c r="K338" s="11" t="s">
        <v>18</v>
      </c>
      <c r="L338" s="11" t="s">
        <v>33</v>
      </c>
      <c r="M338" s="11">
        <v>1</v>
      </c>
      <c r="N338" s="12">
        <v>600</v>
      </c>
      <c r="O338" s="16">
        <f t="shared" si="41"/>
        <v>600</v>
      </c>
      <c r="P338" s="13"/>
    </row>
    <row r="339" ht="69.6" spans="4:16">
      <c r="D339" s="5">
        <v>250</v>
      </c>
      <c r="E339" s="5">
        <v>250</v>
      </c>
      <c r="F339" s="5" t="s">
        <v>675</v>
      </c>
      <c r="G339" s="5" t="s">
        <v>676</v>
      </c>
      <c r="H339" s="5" t="s">
        <v>677</v>
      </c>
      <c r="I339" s="11" t="s">
        <v>25</v>
      </c>
      <c r="J339" s="11">
        <v>2067</v>
      </c>
      <c r="K339" s="11" t="s">
        <v>18</v>
      </c>
      <c r="L339" s="11" t="s">
        <v>33</v>
      </c>
      <c r="M339" s="11">
        <v>2</v>
      </c>
      <c r="N339" s="12">
        <v>4000</v>
      </c>
      <c r="O339" s="16">
        <f t="shared" si="41"/>
        <v>8000</v>
      </c>
      <c r="P339" s="13"/>
    </row>
    <row r="340" spans="4:16">
      <c r="D340" s="5">
        <v>251</v>
      </c>
      <c r="E340" s="5">
        <v>251</v>
      </c>
      <c r="F340" s="5" t="s">
        <v>678</v>
      </c>
      <c r="G340" s="5" t="s">
        <v>679</v>
      </c>
      <c r="H340" s="5" t="s">
        <v>680</v>
      </c>
      <c r="I340" s="11" t="s">
        <v>25</v>
      </c>
      <c r="J340" s="11">
        <v>2058</v>
      </c>
      <c r="K340" s="11" t="s">
        <v>18</v>
      </c>
      <c r="L340" s="11" t="s">
        <v>33</v>
      </c>
      <c r="M340" s="11">
        <v>1</v>
      </c>
      <c r="N340" s="12">
        <v>400</v>
      </c>
      <c r="O340" s="16">
        <f t="shared" si="41"/>
        <v>400</v>
      </c>
      <c r="P340" s="13"/>
    </row>
    <row r="341" spans="4:16">
      <c r="D341" s="5">
        <v>252</v>
      </c>
      <c r="E341" s="5">
        <v>252</v>
      </c>
      <c r="F341" s="5" t="s">
        <v>681</v>
      </c>
      <c r="G341" s="5" t="s">
        <v>682</v>
      </c>
      <c r="H341" s="5" t="s">
        <v>683</v>
      </c>
      <c r="I341" s="11" t="s">
        <v>17</v>
      </c>
      <c r="J341" s="11"/>
      <c r="K341" s="11" t="s">
        <v>18</v>
      </c>
      <c r="L341" s="11" t="s">
        <v>33</v>
      </c>
      <c r="M341" s="11">
        <v>2</v>
      </c>
      <c r="N341" s="12">
        <v>400</v>
      </c>
      <c r="O341" s="16">
        <f t="shared" si="41"/>
        <v>800</v>
      </c>
      <c r="P341" s="13"/>
    </row>
    <row r="342" spans="4:16">
      <c r="D342" s="4" t="s">
        <v>2</v>
      </c>
      <c r="E342" s="4" t="s">
        <v>3</v>
      </c>
      <c r="F342" s="4" t="s">
        <v>4</v>
      </c>
      <c r="G342" s="4" t="s">
        <v>5</v>
      </c>
      <c r="H342" s="4" t="s">
        <v>6</v>
      </c>
      <c r="I342" s="9" t="s">
        <v>7</v>
      </c>
      <c r="J342" s="9" t="s">
        <v>8</v>
      </c>
      <c r="K342" s="9" t="s">
        <v>9</v>
      </c>
      <c r="L342" s="9" t="s">
        <v>10</v>
      </c>
      <c r="M342" s="9" t="s">
        <v>11</v>
      </c>
      <c r="N342" s="10" t="s">
        <v>12</v>
      </c>
      <c r="O342" s="10" t="s">
        <v>13</v>
      </c>
      <c r="P342" s="13"/>
    </row>
    <row r="343" spans="4:16">
      <c r="D343" s="4"/>
      <c r="E343" s="4"/>
      <c r="F343" s="4"/>
      <c r="G343" s="4"/>
      <c r="H343" s="4"/>
      <c r="I343" s="9"/>
      <c r="J343" s="9"/>
      <c r="K343" s="9"/>
      <c r="L343" s="9"/>
      <c r="M343" s="9"/>
      <c r="N343" s="10"/>
      <c r="O343" s="10"/>
      <c r="P343" s="13"/>
    </row>
    <row r="344" ht="87" spans="4:16">
      <c r="D344" s="5">
        <v>253</v>
      </c>
      <c r="E344" s="5">
        <v>253</v>
      </c>
      <c r="F344" s="5" t="s">
        <v>684</v>
      </c>
      <c r="G344" s="5" t="s">
        <v>685</v>
      </c>
      <c r="H344" s="5" t="s">
        <v>686</v>
      </c>
      <c r="I344" s="11" t="s">
        <v>17</v>
      </c>
      <c r="J344" s="11"/>
      <c r="K344" s="11" t="s">
        <v>18</v>
      </c>
      <c r="L344" s="11" t="s">
        <v>33</v>
      </c>
      <c r="M344" s="11">
        <v>1</v>
      </c>
      <c r="N344" s="12">
        <v>900</v>
      </c>
      <c r="O344" s="16">
        <f t="shared" ref="O344:O349" si="42">N344*M344</f>
        <v>900</v>
      </c>
      <c r="P344" s="13"/>
    </row>
    <row r="345" ht="34.8" spans="4:16">
      <c r="D345" s="5">
        <v>254</v>
      </c>
      <c r="E345" s="5">
        <v>254</v>
      </c>
      <c r="F345" s="5" t="s">
        <v>687</v>
      </c>
      <c r="G345" s="5" t="s">
        <v>688</v>
      </c>
      <c r="H345" s="5" t="s">
        <v>689</v>
      </c>
      <c r="I345" s="11" t="s">
        <v>25</v>
      </c>
      <c r="J345" s="11">
        <v>2072</v>
      </c>
      <c r="K345" s="11" t="s">
        <v>18</v>
      </c>
      <c r="L345" s="11" t="s">
        <v>33</v>
      </c>
      <c r="M345" s="11">
        <v>3</v>
      </c>
      <c r="N345" s="12">
        <v>9000</v>
      </c>
      <c r="O345" s="16">
        <f t="shared" si="42"/>
        <v>27000</v>
      </c>
      <c r="P345" s="13"/>
    </row>
    <row r="346" ht="34.8" spans="4:16">
      <c r="D346" s="5">
        <v>255</v>
      </c>
      <c r="E346" s="5">
        <v>255</v>
      </c>
      <c r="F346" s="5" t="s">
        <v>690</v>
      </c>
      <c r="G346" s="5" t="s">
        <v>691</v>
      </c>
      <c r="H346" s="5" t="s">
        <v>692</v>
      </c>
      <c r="I346" s="11" t="s">
        <v>25</v>
      </c>
      <c r="J346" s="11">
        <v>2072</v>
      </c>
      <c r="K346" s="11" t="s">
        <v>18</v>
      </c>
      <c r="L346" s="11" t="s">
        <v>33</v>
      </c>
      <c r="M346" s="11">
        <v>1</v>
      </c>
      <c r="N346" s="12">
        <v>45000</v>
      </c>
      <c r="O346" s="16">
        <f t="shared" si="42"/>
        <v>45000</v>
      </c>
      <c r="P346" s="13"/>
    </row>
    <row r="347" ht="34.8" spans="4:16">
      <c r="D347" s="5">
        <v>256</v>
      </c>
      <c r="E347" s="5">
        <v>256</v>
      </c>
      <c r="F347" s="5" t="s">
        <v>693</v>
      </c>
      <c r="G347" s="5" t="s">
        <v>694</v>
      </c>
      <c r="H347" s="5" t="s">
        <v>695</v>
      </c>
      <c r="I347" s="11" t="s">
        <v>17</v>
      </c>
      <c r="J347" s="11"/>
      <c r="K347" s="11" t="s">
        <v>18</v>
      </c>
      <c r="L347" s="11" t="s">
        <v>33</v>
      </c>
      <c r="M347" s="11">
        <v>6</v>
      </c>
      <c r="N347" s="12">
        <v>1800</v>
      </c>
      <c r="O347" s="16">
        <f t="shared" si="42"/>
        <v>10800</v>
      </c>
      <c r="P347" s="13"/>
    </row>
    <row r="348" ht="34.8" spans="4:16">
      <c r="D348" s="5">
        <v>257</v>
      </c>
      <c r="E348" s="5">
        <v>257</v>
      </c>
      <c r="F348" s="5" t="s">
        <v>696</v>
      </c>
      <c r="G348" s="5" t="s">
        <v>697</v>
      </c>
      <c r="H348" s="5" t="s">
        <v>698</v>
      </c>
      <c r="I348" s="11" t="s">
        <v>17</v>
      </c>
      <c r="J348" s="11"/>
      <c r="K348" s="11" t="s">
        <v>18</v>
      </c>
      <c r="L348" s="11" t="s">
        <v>33</v>
      </c>
      <c r="M348" s="11">
        <v>2</v>
      </c>
      <c r="N348" s="12">
        <v>700</v>
      </c>
      <c r="O348" s="16">
        <f t="shared" si="42"/>
        <v>1400</v>
      </c>
      <c r="P348" s="13"/>
    </row>
    <row r="349" ht="34.8" spans="4:16">
      <c r="D349" s="5">
        <v>258</v>
      </c>
      <c r="E349" s="5">
        <v>258</v>
      </c>
      <c r="F349" s="5" t="s">
        <v>699</v>
      </c>
      <c r="G349" s="5" t="s">
        <v>700</v>
      </c>
      <c r="H349" s="5" t="s">
        <v>701</v>
      </c>
      <c r="I349" s="11" t="s">
        <v>25</v>
      </c>
      <c r="J349" s="11">
        <v>2056</v>
      </c>
      <c r="K349" s="11" t="s">
        <v>18</v>
      </c>
      <c r="L349" s="11" t="s">
        <v>26</v>
      </c>
      <c r="M349" s="11">
        <v>10</v>
      </c>
      <c r="N349" s="12">
        <v>120</v>
      </c>
      <c r="O349" s="16">
        <f t="shared" si="42"/>
        <v>1200</v>
      </c>
      <c r="P349" s="13"/>
    </row>
    <row r="350" spans="4:16">
      <c r="D350" s="4" t="s">
        <v>2</v>
      </c>
      <c r="E350" s="4" t="s">
        <v>3</v>
      </c>
      <c r="F350" s="4" t="s">
        <v>4</v>
      </c>
      <c r="G350" s="4" t="s">
        <v>5</v>
      </c>
      <c r="H350" s="4" t="s">
        <v>6</v>
      </c>
      <c r="I350" s="9" t="s">
        <v>7</v>
      </c>
      <c r="J350" s="9" t="s">
        <v>8</v>
      </c>
      <c r="K350" s="9" t="s">
        <v>9</v>
      </c>
      <c r="L350" s="9" t="s">
        <v>10</v>
      </c>
      <c r="M350" s="9" t="s">
        <v>11</v>
      </c>
      <c r="N350" s="10" t="s">
        <v>12</v>
      </c>
      <c r="O350" s="10" t="s">
        <v>13</v>
      </c>
      <c r="P350" s="13"/>
    </row>
    <row r="351" spans="4:16">
      <c r="D351" s="4"/>
      <c r="E351" s="4"/>
      <c r="F351" s="4"/>
      <c r="G351" s="4"/>
      <c r="H351" s="4"/>
      <c r="I351" s="9"/>
      <c r="J351" s="9"/>
      <c r="K351" s="9"/>
      <c r="L351" s="9"/>
      <c r="M351" s="9"/>
      <c r="N351" s="10"/>
      <c r="O351" s="10"/>
      <c r="P351" s="13"/>
    </row>
    <row r="352" ht="34.8" spans="4:16">
      <c r="D352" s="5">
        <v>259</v>
      </c>
      <c r="E352" s="5">
        <v>259</v>
      </c>
      <c r="F352" s="5" t="s">
        <v>702</v>
      </c>
      <c r="G352" s="5" t="s">
        <v>703</v>
      </c>
      <c r="H352" s="5" t="s">
        <v>704</v>
      </c>
      <c r="I352" s="11" t="s">
        <v>17</v>
      </c>
      <c r="J352" s="11"/>
      <c r="K352" s="11" t="s">
        <v>18</v>
      </c>
      <c r="L352" s="11" t="s">
        <v>33</v>
      </c>
      <c r="M352" s="11">
        <v>4</v>
      </c>
      <c r="N352" s="12">
        <v>900</v>
      </c>
      <c r="O352" s="16">
        <f t="shared" ref="O352:O357" si="43">N352*M352</f>
        <v>3600</v>
      </c>
      <c r="P352" s="13"/>
    </row>
    <row r="353" ht="52.2" spans="4:16">
      <c r="D353" s="5">
        <v>260</v>
      </c>
      <c r="E353" s="5">
        <v>260</v>
      </c>
      <c r="F353" s="5" t="s">
        <v>705</v>
      </c>
      <c r="G353" s="5" t="s">
        <v>706</v>
      </c>
      <c r="H353" s="5" t="s">
        <v>707</v>
      </c>
      <c r="I353" s="11" t="s">
        <v>17</v>
      </c>
      <c r="J353" s="11"/>
      <c r="K353" s="11" t="s">
        <v>18</v>
      </c>
      <c r="L353" s="11" t="s">
        <v>33</v>
      </c>
      <c r="M353" s="11">
        <v>1</v>
      </c>
      <c r="N353" s="12">
        <v>60000</v>
      </c>
      <c r="O353" s="16">
        <f t="shared" si="43"/>
        <v>60000</v>
      </c>
      <c r="P353" s="13"/>
    </row>
    <row r="354" ht="34.8" spans="4:16">
      <c r="D354" s="5">
        <v>261</v>
      </c>
      <c r="E354" s="5">
        <v>261</v>
      </c>
      <c r="F354" s="5" t="s">
        <v>708</v>
      </c>
      <c r="G354" s="5" t="s">
        <v>709</v>
      </c>
      <c r="H354" s="5" t="s">
        <v>710</v>
      </c>
      <c r="I354" s="11" t="s">
        <v>17</v>
      </c>
      <c r="J354" s="11"/>
      <c r="K354" s="11" t="s">
        <v>18</v>
      </c>
      <c r="L354" s="11" t="s">
        <v>33</v>
      </c>
      <c r="M354" s="11">
        <v>1</v>
      </c>
      <c r="N354" s="12">
        <v>60000</v>
      </c>
      <c r="O354" s="16">
        <f t="shared" si="43"/>
        <v>60000</v>
      </c>
      <c r="P354" s="13"/>
    </row>
    <row r="355" ht="34.8" spans="4:16">
      <c r="D355" s="5">
        <v>262</v>
      </c>
      <c r="E355" s="5">
        <v>262</v>
      </c>
      <c r="F355" s="5" t="s">
        <v>711</v>
      </c>
      <c r="G355" s="5" t="s">
        <v>712</v>
      </c>
      <c r="H355" s="5" t="s">
        <v>713</v>
      </c>
      <c r="I355" s="11" t="s">
        <v>17</v>
      </c>
      <c r="J355" s="11"/>
      <c r="K355" s="11" t="s">
        <v>18</v>
      </c>
      <c r="L355" s="11" t="s">
        <v>33</v>
      </c>
      <c r="M355" s="11">
        <v>1</v>
      </c>
      <c r="N355" s="12">
        <v>45000</v>
      </c>
      <c r="O355" s="16">
        <f t="shared" si="43"/>
        <v>45000</v>
      </c>
      <c r="P355" s="13"/>
    </row>
    <row r="356" ht="34.8" spans="4:16">
      <c r="D356" s="5">
        <v>263</v>
      </c>
      <c r="E356" s="5">
        <v>263</v>
      </c>
      <c r="F356" s="5" t="s">
        <v>714</v>
      </c>
      <c r="G356" s="5" t="s">
        <v>715</v>
      </c>
      <c r="H356" s="5" t="s">
        <v>716</v>
      </c>
      <c r="I356" s="11" t="s">
        <v>17</v>
      </c>
      <c r="J356" s="11"/>
      <c r="K356" s="11" t="s">
        <v>18</v>
      </c>
      <c r="L356" s="11" t="s">
        <v>33</v>
      </c>
      <c r="M356" s="11">
        <v>1</v>
      </c>
      <c r="N356" s="12">
        <v>45000</v>
      </c>
      <c r="O356" s="16">
        <f t="shared" si="43"/>
        <v>45000</v>
      </c>
      <c r="P356" s="13"/>
    </row>
    <row r="357" ht="34.8" spans="4:16">
      <c r="D357" s="5">
        <v>264</v>
      </c>
      <c r="E357" s="5">
        <v>264</v>
      </c>
      <c r="F357" s="5" t="s">
        <v>717</v>
      </c>
      <c r="G357" s="5" t="s">
        <v>718</v>
      </c>
      <c r="H357" s="5" t="s">
        <v>719</v>
      </c>
      <c r="I357" s="11" t="s">
        <v>25</v>
      </c>
      <c r="J357" s="11">
        <v>2072</v>
      </c>
      <c r="K357" s="11" t="s">
        <v>18</v>
      </c>
      <c r="L357" s="11" t="s">
        <v>33</v>
      </c>
      <c r="M357" s="11">
        <v>1</v>
      </c>
      <c r="N357" s="12">
        <v>11000</v>
      </c>
      <c r="O357" s="16">
        <f t="shared" si="43"/>
        <v>11000</v>
      </c>
      <c r="P357" s="13"/>
    </row>
    <row r="358" spans="4:16">
      <c r="D358" s="4" t="s">
        <v>2</v>
      </c>
      <c r="E358" s="4" t="s">
        <v>3</v>
      </c>
      <c r="F358" s="4" t="s">
        <v>4</v>
      </c>
      <c r="G358" s="4" t="s">
        <v>5</v>
      </c>
      <c r="H358" s="4" t="s">
        <v>6</v>
      </c>
      <c r="I358" s="9" t="s">
        <v>7</v>
      </c>
      <c r="J358" s="9" t="s">
        <v>8</v>
      </c>
      <c r="K358" s="9" t="s">
        <v>9</v>
      </c>
      <c r="L358" s="9" t="s">
        <v>10</v>
      </c>
      <c r="M358" s="9" t="s">
        <v>11</v>
      </c>
      <c r="N358" s="10" t="s">
        <v>12</v>
      </c>
      <c r="O358" s="10" t="s">
        <v>13</v>
      </c>
      <c r="P358" s="13"/>
    </row>
    <row r="359" spans="4:16">
      <c r="D359" s="4"/>
      <c r="E359" s="4"/>
      <c r="F359" s="4"/>
      <c r="G359" s="4"/>
      <c r="H359" s="4"/>
      <c r="I359" s="9"/>
      <c r="J359" s="9"/>
      <c r="K359" s="9"/>
      <c r="L359" s="9"/>
      <c r="M359" s="9"/>
      <c r="N359" s="10"/>
      <c r="O359" s="10"/>
      <c r="P359" s="13"/>
    </row>
    <row r="360" ht="34.8" spans="4:16">
      <c r="D360" s="5">
        <v>265</v>
      </c>
      <c r="E360" s="5">
        <v>265</v>
      </c>
      <c r="F360" s="5" t="s">
        <v>720</v>
      </c>
      <c r="G360" s="5" t="s">
        <v>721</v>
      </c>
      <c r="H360" s="5" t="s">
        <v>722</v>
      </c>
      <c r="I360" s="11" t="s">
        <v>25</v>
      </c>
      <c r="J360" s="11">
        <v>2064</v>
      </c>
      <c r="K360" s="11" t="s">
        <v>18</v>
      </c>
      <c r="L360" s="11" t="s">
        <v>33</v>
      </c>
      <c r="M360" s="11">
        <v>2</v>
      </c>
      <c r="N360" s="12">
        <v>700</v>
      </c>
      <c r="O360" s="16">
        <f t="shared" ref="O360:O365" si="44">N360*M360</f>
        <v>1400</v>
      </c>
      <c r="P360" s="13"/>
    </row>
    <row r="361" ht="34.8" spans="4:16">
      <c r="D361" s="5">
        <v>266</v>
      </c>
      <c r="E361" s="5">
        <v>266</v>
      </c>
      <c r="F361" s="5" t="s">
        <v>723</v>
      </c>
      <c r="G361" s="5" t="s">
        <v>724</v>
      </c>
      <c r="H361" s="5" t="s">
        <v>725</v>
      </c>
      <c r="I361" s="11" t="s">
        <v>17</v>
      </c>
      <c r="J361" s="11"/>
      <c r="K361" s="11" t="s">
        <v>18</v>
      </c>
      <c r="L361" s="11" t="s">
        <v>26</v>
      </c>
      <c r="M361" s="11">
        <v>20</v>
      </c>
      <c r="N361" s="12">
        <v>600</v>
      </c>
      <c r="O361" s="16">
        <f t="shared" si="44"/>
        <v>12000</v>
      </c>
      <c r="P361" s="13"/>
    </row>
    <row r="362" ht="34.8" spans="4:16">
      <c r="D362" s="5">
        <v>267</v>
      </c>
      <c r="E362" s="5">
        <v>267</v>
      </c>
      <c r="F362" s="5" t="s">
        <v>726</v>
      </c>
      <c r="G362" s="5" t="s">
        <v>727</v>
      </c>
      <c r="H362" s="5" t="s">
        <v>728</v>
      </c>
      <c r="I362" s="11" t="s">
        <v>17</v>
      </c>
      <c r="J362" s="11"/>
      <c r="K362" s="11" t="s">
        <v>18</v>
      </c>
      <c r="L362" s="11" t="s">
        <v>33</v>
      </c>
      <c r="M362" s="11">
        <v>2</v>
      </c>
      <c r="N362" s="12">
        <v>900</v>
      </c>
      <c r="O362" s="16">
        <f t="shared" si="44"/>
        <v>1800</v>
      </c>
      <c r="P362" s="13"/>
    </row>
    <row r="363" ht="34.8" spans="4:16">
      <c r="D363" s="5">
        <v>268</v>
      </c>
      <c r="E363" s="5">
        <v>268</v>
      </c>
      <c r="F363" s="5" t="s">
        <v>729</v>
      </c>
      <c r="G363" s="5" t="s">
        <v>730</v>
      </c>
      <c r="H363" s="5" t="s">
        <v>731</v>
      </c>
      <c r="I363" s="11" t="s">
        <v>17</v>
      </c>
      <c r="J363" s="11"/>
      <c r="K363" s="11" t="s">
        <v>18</v>
      </c>
      <c r="L363" s="11" t="s">
        <v>33</v>
      </c>
      <c r="M363" s="11">
        <v>2</v>
      </c>
      <c r="N363" s="12">
        <v>900</v>
      </c>
      <c r="O363" s="16">
        <f t="shared" si="44"/>
        <v>1800</v>
      </c>
      <c r="P363" s="13"/>
    </row>
    <row r="364" ht="69.6" spans="4:16">
      <c r="D364" s="5">
        <v>269</v>
      </c>
      <c r="E364" s="5">
        <v>269</v>
      </c>
      <c r="F364" s="5" t="s">
        <v>732</v>
      </c>
      <c r="G364" s="5" t="s">
        <v>733</v>
      </c>
      <c r="H364" s="5" t="s">
        <v>632</v>
      </c>
      <c r="I364" s="11" t="s">
        <v>25</v>
      </c>
      <c r="J364" s="11">
        <v>2078</v>
      </c>
      <c r="K364" s="11" t="s">
        <v>18</v>
      </c>
      <c r="L364" s="11" t="s">
        <v>33</v>
      </c>
      <c r="M364" s="11">
        <v>2</v>
      </c>
      <c r="N364" s="12">
        <v>6000</v>
      </c>
      <c r="O364" s="16">
        <f t="shared" si="44"/>
        <v>12000</v>
      </c>
      <c r="P364" s="13"/>
    </row>
    <row r="365" spans="4:16">
      <c r="D365" s="5">
        <v>270</v>
      </c>
      <c r="E365" s="5">
        <v>270</v>
      </c>
      <c r="F365" s="5" t="s">
        <v>734</v>
      </c>
      <c r="G365" s="5" t="s">
        <v>735</v>
      </c>
      <c r="H365" s="5" t="s">
        <v>736</v>
      </c>
      <c r="I365" s="11" t="s">
        <v>25</v>
      </c>
      <c r="J365" s="11">
        <v>2078</v>
      </c>
      <c r="K365" s="11" t="s">
        <v>18</v>
      </c>
      <c r="L365" s="11" t="s">
        <v>33</v>
      </c>
      <c r="M365" s="11">
        <v>3</v>
      </c>
      <c r="N365" s="16">
        <v>9000</v>
      </c>
      <c r="O365" s="16">
        <f t="shared" si="44"/>
        <v>27000</v>
      </c>
      <c r="P365" s="13"/>
    </row>
    <row r="366" spans="4:16">
      <c r="D366" s="4" t="s">
        <v>2</v>
      </c>
      <c r="E366" s="4" t="s">
        <v>3</v>
      </c>
      <c r="F366" s="4" t="s">
        <v>4</v>
      </c>
      <c r="G366" s="4" t="s">
        <v>5</v>
      </c>
      <c r="H366" s="4" t="s">
        <v>6</v>
      </c>
      <c r="I366" s="9" t="s">
        <v>7</v>
      </c>
      <c r="J366" s="9" t="s">
        <v>8</v>
      </c>
      <c r="K366" s="9" t="s">
        <v>9</v>
      </c>
      <c r="L366" s="9" t="s">
        <v>10</v>
      </c>
      <c r="M366" s="9" t="s">
        <v>11</v>
      </c>
      <c r="N366" s="10" t="s">
        <v>12</v>
      </c>
      <c r="O366" s="10" t="s">
        <v>13</v>
      </c>
      <c r="P366" s="13"/>
    </row>
    <row r="367" spans="4:16">
      <c r="D367" s="4"/>
      <c r="E367" s="4"/>
      <c r="F367" s="4"/>
      <c r="G367" s="4"/>
      <c r="H367" s="4"/>
      <c r="I367" s="9"/>
      <c r="J367" s="9"/>
      <c r="K367" s="9"/>
      <c r="L367" s="9"/>
      <c r="M367" s="9"/>
      <c r="N367" s="10"/>
      <c r="O367" s="10"/>
      <c r="P367" s="13"/>
    </row>
    <row r="368" spans="4:16">
      <c r="D368" s="5">
        <v>271</v>
      </c>
      <c r="E368" s="5">
        <v>271</v>
      </c>
      <c r="F368" s="5" t="s">
        <v>737</v>
      </c>
      <c r="G368" s="5" t="s">
        <v>738</v>
      </c>
      <c r="H368" s="5" t="s">
        <v>739</v>
      </c>
      <c r="I368" s="11" t="s">
        <v>25</v>
      </c>
      <c r="J368" s="11">
        <v>2078</v>
      </c>
      <c r="K368" s="11" t="s">
        <v>18</v>
      </c>
      <c r="L368" s="11" t="s">
        <v>33</v>
      </c>
      <c r="M368" s="11">
        <v>3</v>
      </c>
      <c r="N368" s="12">
        <v>11000</v>
      </c>
      <c r="O368" s="16">
        <f t="shared" ref="O368:O373" si="45">N368*M368</f>
        <v>33000</v>
      </c>
      <c r="P368" s="13"/>
    </row>
    <row r="369" ht="34.8" spans="4:16">
      <c r="D369" s="5">
        <v>272</v>
      </c>
      <c r="E369" s="5">
        <v>272</v>
      </c>
      <c r="F369" s="5" t="s">
        <v>740</v>
      </c>
      <c r="G369" s="5" t="s">
        <v>741</v>
      </c>
      <c r="H369" s="5" t="s">
        <v>742</v>
      </c>
      <c r="I369" s="11" t="s">
        <v>25</v>
      </c>
      <c r="J369" s="11">
        <v>2072</v>
      </c>
      <c r="K369" s="11" t="s">
        <v>18</v>
      </c>
      <c r="L369" s="11" t="s">
        <v>33</v>
      </c>
      <c r="M369" s="11">
        <v>6</v>
      </c>
      <c r="N369" s="12">
        <v>4500</v>
      </c>
      <c r="O369" s="16">
        <f t="shared" si="45"/>
        <v>27000</v>
      </c>
      <c r="P369" s="13"/>
    </row>
    <row r="370" ht="34.8" spans="4:16">
      <c r="D370" s="5">
        <v>273</v>
      </c>
      <c r="E370" s="5">
        <v>273</v>
      </c>
      <c r="F370" s="5" t="s">
        <v>743</v>
      </c>
      <c r="G370" s="5" t="s">
        <v>744</v>
      </c>
      <c r="H370" s="5" t="s">
        <v>745</v>
      </c>
      <c r="I370" s="11" t="s">
        <v>25</v>
      </c>
      <c r="J370" s="11">
        <v>2072</v>
      </c>
      <c r="K370" s="11" t="s">
        <v>18</v>
      </c>
      <c r="L370" s="11" t="s">
        <v>33</v>
      </c>
      <c r="M370" s="11">
        <v>2</v>
      </c>
      <c r="N370" s="12">
        <v>5000</v>
      </c>
      <c r="O370" s="16">
        <f t="shared" si="45"/>
        <v>10000</v>
      </c>
      <c r="P370" s="13"/>
    </row>
    <row r="371" ht="52.2" spans="4:16">
      <c r="D371" s="5">
        <v>274</v>
      </c>
      <c r="E371" s="5">
        <v>274</v>
      </c>
      <c r="F371" s="5" t="s">
        <v>746</v>
      </c>
      <c r="G371" s="5" t="s">
        <v>747</v>
      </c>
      <c r="H371" s="5" t="s">
        <v>748</v>
      </c>
      <c r="I371" s="11" t="s">
        <v>25</v>
      </c>
      <c r="J371" s="11">
        <v>2058</v>
      </c>
      <c r="K371" s="11" t="s">
        <v>18</v>
      </c>
      <c r="L371" s="11" t="s">
        <v>33</v>
      </c>
      <c r="M371" s="11">
        <v>8</v>
      </c>
      <c r="N371" s="12">
        <v>700</v>
      </c>
      <c r="O371" s="16">
        <f t="shared" si="45"/>
        <v>5600</v>
      </c>
      <c r="P371" s="13"/>
    </row>
    <row r="372" ht="34.8" spans="4:16">
      <c r="D372" s="5">
        <v>275</v>
      </c>
      <c r="E372" s="5">
        <v>275</v>
      </c>
      <c r="F372" s="5" t="s">
        <v>749</v>
      </c>
      <c r="G372" s="5" t="s">
        <v>750</v>
      </c>
      <c r="H372" s="5" t="s">
        <v>751</v>
      </c>
      <c r="I372" s="11" t="s">
        <v>25</v>
      </c>
      <c r="J372" s="11">
        <v>2058</v>
      </c>
      <c r="K372" s="11" t="s">
        <v>18</v>
      </c>
      <c r="L372" s="11" t="s">
        <v>33</v>
      </c>
      <c r="M372" s="11">
        <v>2</v>
      </c>
      <c r="N372" s="12">
        <v>700</v>
      </c>
      <c r="O372" s="16">
        <f t="shared" si="45"/>
        <v>1400</v>
      </c>
      <c r="P372" s="13"/>
    </row>
    <row r="373" ht="34.8" spans="4:16">
      <c r="D373" s="5">
        <v>276</v>
      </c>
      <c r="E373" s="5">
        <v>276</v>
      </c>
      <c r="F373" s="5" t="s">
        <v>752</v>
      </c>
      <c r="G373" s="5" t="s">
        <v>753</v>
      </c>
      <c r="H373" s="5" t="s">
        <v>754</v>
      </c>
      <c r="I373" s="11" t="s">
        <v>25</v>
      </c>
      <c r="J373" s="11">
        <v>2058</v>
      </c>
      <c r="K373" s="11" t="s">
        <v>18</v>
      </c>
      <c r="L373" s="11" t="s">
        <v>33</v>
      </c>
      <c r="M373" s="11">
        <v>4</v>
      </c>
      <c r="N373" s="12">
        <v>700</v>
      </c>
      <c r="O373" s="16">
        <f t="shared" si="45"/>
        <v>2800</v>
      </c>
      <c r="P373" s="13"/>
    </row>
    <row r="374" spans="4:16">
      <c r="D374" s="4" t="s">
        <v>2</v>
      </c>
      <c r="E374" s="4" t="s">
        <v>3</v>
      </c>
      <c r="F374" s="4" t="s">
        <v>4</v>
      </c>
      <c r="G374" s="4" t="s">
        <v>5</v>
      </c>
      <c r="H374" s="4" t="s">
        <v>6</v>
      </c>
      <c r="I374" s="9" t="s">
        <v>7</v>
      </c>
      <c r="J374" s="9" t="s">
        <v>8</v>
      </c>
      <c r="K374" s="9" t="s">
        <v>9</v>
      </c>
      <c r="L374" s="9" t="s">
        <v>10</v>
      </c>
      <c r="M374" s="9" t="s">
        <v>11</v>
      </c>
      <c r="N374" s="10" t="s">
        <v>12</v>
      </c>
      <c r="O374" s="10" t="s">
        <v>13</v>
      </c>
      <c r="P374" s="13"/>
    </row>
    <row r="375" spans="4:16">
      <c r="D375" s="4"/>
      <c r="E375" s="4"/>
      <c r="F375" s="4"/>
      <c r="G375" s="4"/>
      <c r="H375" s="4"/>
      <c r="I375" s="9"/>
      <c r="J375" s="9"/>
      <c r="K375" s="9"/>
      <c r="L375" s="9"/>
      <c r="M375" s="9"/>
      <c r="N375" s="10"/>
      <c r="O375" s="10"/>
      <c r="P375" s="13"/>
    </row>
    <row r="376" ht="52.2" spans="4:16">
      <c r="D376" s="5">
        <v>277</v>
      </c>
      <c r="E376" s="5">
        <v>277</v>
      </c>
      <c r="F376" s="5" t="s">
        <v>755</v>
      </c>
      <c r="G376" s="5" t="s">
        <v>756</v>
      </c>
      <c r="H376" s="5" t="s">
        <v>757</v>
      </c>
      <c r="I376" s="11" t="s">
        <v>17</v>
      </c>
      <c r="J376" s="11"/>
      <c r="K376" s="11" t="s">
        <v>18</v>
      </c>
      <c r="L376" s="11" t="s">
        <v>33</v>
      </c>
      <c r="M376" s="11">
        <v>4</v>
      </c>
      <c r="N376" s="12">
        <v>700</v>
      </c>
      <c r="O376" s="16">
        <f t="shared" ref="O376:O381" si="46">N376*M376</f>
        <v>2800</v>
      </c>
      <c r="P376" s="13"/>
    </row>
    <row r="377" ht="34.8" spans="4:16">
      <c r="D377" s="5">
        <v>278</v>
      </c>
      <c r="E377" s="5">
        <v>278</v>
      </c>
      <c r="F377" s="5" t="s">
        <v>758</v>
      </c>
      <c r="G377" s="5" t="s">
        <v>759</v>
      </c>
      <c r="H377" s="5" t="s">
        <v>760</v>
      </c>
      <c r="I377" s="11" t="s">
        <v>17</v>
      </c>
      <c r="J377" s="11"/>
      <c r="K377" s="11" t="s">
        <v>18</v>
      </c>
      <c r="L377" s="11" t="s">
        <v>33</v>
      </c>
      <c r="M377" s="11">
        <v>8</v>
      </c>
      <c r="N377" s="12">
        <v>700</v>
      </c>
      <c r="O377" s="16">
        <f t="shared" si="46"/>
        <v>5600</v>
      </c>
      <c r="P377" s="13"/>
    </row>
    <row r="378" ht="34.8" spans="4:16">
      <c r="D378" s="5">
        <v>279</v>
      </c>
      <c r="E378" s="5">
        <v>279</v>
      </c>
      <c r="F378" s="5" t="s">
        <v>761</v>
      </c>
      <c r="G378" s="5" t="s">
        <v>762</v>
      </c>
      <c r="H378" s="5" t="s">
        <v>763</v>
      </c>
      <c r="I378" s="11" t="s">
        <v>25</v>
      </c>
      <c r="J378" s="11">
        <v>2058</v>
      </c>
      <c r="K378" s="11" t="s">
        <v>18</v>
      </c>
      <c r="L378" s="11" t="s">
        <v>33</v>
      </c>
      <c r="M378" s="11">
        <v>4</v>
      </c>
      <c r="N378" s="12">
        <v>700</v>
      </c>
      <c r="O378" s="16">
        <f t="shared" si="46"/>
        <v>2800</v>
      </c>
      <c r="P378" s="13"/>
    </row>
    <row r="379" spans="4:16">
      <c r="D379" s="5">
        <v>280</v>
      </c>
      <c r="E379" s="5">
        <v>280</v>
      </c>
      <c r="F379" s="5" t="s">
        <v>764</v>
      </c>
      <c r="G379" s="5" t="s">
        <v>765</v>
      </c>
      <c r="H379" s="5" t="s">
        <v>766</v>
      </c>
      <c r="I379" s="11" t="s">
        <v>17</v>
      </c>
      <c r="J379" s="11"/>
      <c r="K379" s="11" t="s">
        <v>18</v>
      </c>
      <c r="L379" s="11" t="s">
        <v>33</v>
      </c>
      <c r="M379" s="11">
        <v>4</v>
      </c>
      <c r="N379" s="12">
        <v>700</v>
      </c>
      <c r="O379" s="16">
        <f t="shared" si="46"/>
        <v>2800</v>
      </c>
      <c r="P379" s="13"/>
    </row>
    <row r="380" ht="34.8" spans="4:16">
      <c r="D380" s="5">
        <v>281</v>
      </c>
      <c r="E380" s="5">
        <v>281</v>
      </c>
      <c r="F380" s="5" t="s">
        <v>767</v>
      </c>
      <c r="G380" s="5" t="s">
        <v>768</v>
      </c>
      <c r="H380" s="5" t="s">
        <v>769</v>
      </c>
      <c r="I380" s="11" t="s">
        <v>25</v>
      </c>
      <c r="J380" s="11">
        <v>2058</v>
      </c>
      <c r="K380" s="11" t="s">
        <v>18</v>
      </c>
      <c r="L380" s="11" t="s">
        <v>33</v>
      </c>
      <c r="M380" s="11">
        <v>6</v>
      </c>
      <c r="N380" s="12">
        <v>210</v>
      </c>
      <c r="O380" s="16">
        <f t="shared" si="46"/>
        <v>1260</v>
      </c>
      <c r="P380" s="13"/>
    </row>
    <row r="381" ht="34.8" spans="4:16">
      <c r="D381" s="5">
        <v>282</v>
      </c>
      <c r="E381" s="5">
        <v>282</v>
      </c>
      <c r="F381" s="5" t="s">
        <v>770</v>
      </c>
      <c r="G381" s="5" t="s">
        <v>771</v>
      </c>
      <c r="H381" s="5" t="s">
        <v>772</v>
      </c>
      <c r="I381" s="11" t="s">
        <v>25</v>
      </c>
      <c r="J381" s="11">
        <v>2058</v>
      </c>
      <c r="K381" s="11" t="s">
        <v>18</v>
      </c>
      <c r="L381" s="11" t="s">
        <v>33</v>
      </c>
      <c r="M381" s="11">
        <v>3</v>
      </c>
      <c r="N381" s="12">
        <v>350</v>
      </c>
      <c r="O381" s="16">
        <f t="shared" si="46"/>
        <v>1050</v>
      </c>
      <c r="P381" s="13"/>
    </row>
    <row r="382" spans="4:16">
      <c r="D382" s="4" t="s">
        <v>2</v>
      </c>
      <c r="E382" s="4" t="s">
        <v>3</v>
      </c>
      <c r="F382" s="4" t="s">
        <v>4</v>
      </c>
      <c r="G382" s="4" t="s">
        <v>5</v>
      </c>
      <c r="H382" s="4" t="s">
        <v>6</v>
      </c>
      <c r="I382" s="9" t="s">
        <v>7</v>
      </c>
      <c r="J382" s="9" t="s">
        <v>8</v>
      </c>
      <c r="K382" s="9" t="s">
        <v>9</v>
      </c>
      <c r="L382" s="9" t="s">
        <v>10</v>
      </c>
      <c r="M382" s="9" t="s">
        <v>11</v>
      </c>
      <c r="N382" s="10" t="s">
        <v>12</v>
      </c>
      <c r="O382" s="10" t="s">
        <v>13</v>
      </c>
      <c r="P382" s="13"/>
    </row>
    <row r="383" spans="4:16">
      <c r="D383" s="4"/>
      <c r="E383" s="4"/>
      <c r="F383" s="4"/>
      <c r="G383" s="4"/>
      <c r="H383" s="4"/>
      <c r="I383" s="9"/>
      <c r="J383" s="9"/>
      <c r="K383" s="9"/>
      <c r="L383" s="9"/>
      <c r="M383" s="9"/>
      <c r="N383" s="10"/>
      <c r="O383" s="10"/>
      <c r="P383" s="13"/>
    </row>
    <row r="384" spans="4:16">
      <c r="D384" s="5">
        <v>283</v>
      </c>
      <c r="E384" s="5">
        <v>283</v>
      </c>
      <c r="F384" s="5" t="s">
        <v>773</v>
      </c>
      <c r="G384" s="5" t="s">
        <v>774</v>
      </c>
      <c r="H384" s="5" t="s">
        <v>775</v>
      </c>
      <c r="I384" s="11" t="s">
        <v>25</v>
      </c>
      <c r="J384" s="11">
        <v>2058</v>
      </c>
      <c r="K384" s="11" t="s">
        <v>18</v>
      </c>
      <c r="L384" s="11" t="s">
        <v>33</v>
      </c>
      <c r="M384" s="11">
        <v>3</v>
      </c>
      <c r="N384" s="12">
        <v>350</v>
      </c>
      <c r="O384" s="16">
        <f t="shared" ref="O384:O389" si="47">N384*M384</f>
        <v>1050</v>
      </c>
      <c r="P384" s="13"/>
    </row>
    <row r="385" ht="34.8" spans="4:16">
      <c r="D385" s="5">
        <v>284</v>
      </c>
      <c r="E385" s="5">
        <v>284</v>
      </c>
      <c r="F385" s="5" t="s">
        <v>776</v>
      </c>
      <c r="G385" s="5" t="s">
        <v>777</v>
      </c>
      <c r="H385" s="5" t="s">
        <v>778</v>
      </c>
      <c r="I385" s="11" t="s">
        <v>25</v>
      </c>
      <c r="J385" s="11">
        <v>2058</v>
      </c>
      <c r="K385" s="11" t="s">
        <v>18</v>
      </c>
      <c r="L385" s="11" t="s">
        <v>33</v>
      </c>
      <c r="M385" s="11">
        <v>6</v>
      </c>
      <c r="N385" s="12">
        <v>350</v>
      </c>
      <c r="O385" s="16">
        <f t="shared" si="47"/>
        <v>2100</v>
      </c>
      <c r="P385" s="13"/>
    </row>
    <row r="386" ht="34.8" spans="4:16">
      <c r="D386" s="5">
        <v>285</v>
      </c>
      <c r="E386" s="5">
        <v>285</v>
      </c>
      <c r="F386" s="5" t="s">
        <v>779</v>
      </c>
      <c r="G386" s="5" t="s">
        <v>780</v>
      </c>
      <c r="H386" s="5" t="s">
        <v>665</v>
      </c>
      <c r="I386" s="11" t="s">
        <v>25</v>
      </c>
      <c r="J386" s="11">
        <v>2058</v>
      </c>
      <c r="K386" s="11" t="s">
        <v>18</v>
      </c>
      <c r="L386" s="11" t="s">
        <v>33</v>
      </c>
      <c r="M386" s="11">
        <v>3</v>
      </c>
      <c r="N386" s="12">
        <v>350</v>
      </c>
      <c r="O386" s="16">
        <f t="shared" si="47"/>
        <v>1050</v>
      </c>
      <c r="P386" s="13"/>
    </row>
    <row r="387" ht="34.8" spans="4:16">
      <c r="D387" s="5">
        <v>286</v>
      </c>
      <c r="E387" s="5">
        <v>286</v>
      </c>
      <c r="F387" s="5" t="s">
        <v>781</v>
      </c>
      <c r="G387" s="5" t="s">
        <v>782</v>
      </c>
      <c r="H387" s="5" t="s">
        <v>783</v>
      </c>
      <c r="I387" s="11" t="s">
        <v>25</v>
      </c>
      <c r="J387" s="11">
        <v>2062</v>
      </c>
      <c r="K387" s="11" t="s">
        <v>18</v>
      </c>
      <c r="L387" s="11" t="s">
        <v>26</v>
      </c>
      <c r="M387" s="11">
        <v>20</v>
      </c>
      <c r="N387" s="12">
        <v>160</v>
      </c>
      <c r="O387" s="16">
        <f t="shared" si="47"/>
        <v>3200</v>
      </c>
      <c r="P387" s="13"/>
    </row>
    <row r="388" spans="4:16">
      <c r="D388" s="5">
        <v>287</v>
      </c>
      <c r="E388" s="5">
        <v>287</v>
      </c>
      <c r="F388" s="5" t="s">
        <v>784</v>
      </c>
      <c r="G388" s="5" t="s">
        <v>785</v>
      </c>
      <c r="H388" s="5" t="s">
        <v>647</v>
      </c>
      <c r="I388" s="11" t="s">
        <v>25</v>
      </c>
      <c r="J388" s="11">
        <v>2062</v>
      </c>
      <c r="K388" s="11" t="s">
        <v>18</v>
      </c>
      <c r="L388" s="11" t="s">
        <v>26</v>
      </c>
      <c r="M388" s="11">
        <v>50</v>
      </c>
      <c r="N388" s="12">
        <v>110</v>
      </c>
      <c r="O388" s="16">
        <f t="shared" si="47"/>
        <v>5500</v>
      </c>
      <c r="P388" s="13"/>
    </row>
    <row r="389" spans="4:16">
      <c r="D389" s="5">
        <v>288</v>
      </c>
      <c r="E389" s="5">
        <v>288</v>
      </c>
      <c r="F389" s="5" t="s">
        <v>786</v>
      </c>
      <c r="G389" s="5" t="s">
        <v>787</v>
      </c>
      <c r="H389" s="5" t="s">
        <v>650</v>
      </c>
      <c r="I389" s="11" t="s">
        <v>25</v>
      </c>
      <c r="J389" s="11">
        <v>2062</v>
      </c>
      <c r="K389" s="11" t="s">
        <v>18</v>
      </c>
      <c r="L389" s="11" t="s">
        <v>26</v>
      </c>
      <c r="M389" s="11">
        <v>35</v>
      </c>
      <c r="N389" s="12">
        <v>70</v>
      </c>
      <c r="O389" s="16">
        <f t="shared" si="47"/>
        <v>2450</v>
      </c>
      <c r="P389" s="13"/>
    </row>
    <row r="390" spans="4:16">
      <c r="D390" s="4" t="s">
        <v>37</v>
      </c>
      <c r="E390" s="4" t="s">
        <v>3</v>
      </c>
      <c r="F390" s="4" t="s">
        <v>4</v>
      </c>
      <c r="G390" s="4" t="s">
        <v>5</v>
      </c>
      <c r="H390" s="4" t="s">
        <v>6</v>
      </c>
      <c r="I390" s="9" t="s">
        <v>7</v>
      </c>
      <c r="J390" s="9" t="s">
        <v>8</v>
      </c>
      <c r="K390" s="9" t="s">
        <v>9</v>
      </c>
      <c r="L390" s="9" t="s">
        <v>10</v>
      </c>
      <c r="M390" s="9" t="s">
        <v>11</v>
      </c>
      <c r="N390" s="10" t="s">
        <v>12</v>
      </c>
      <c r="O390" s="10" t="s">
        <v>13</v>
      </c>
      <c r="P390" s="13"/>
    </row>
    <row r="391" spans="4:16">
      <c r="D391" s="4"/>
      <c r="E391" s="4"/>
      <c r="F391" s="4"/>
      <c r="G391" s="4"/>
      <c r="H391" s="4"/>
      <c r="I391" s="9"/>
      <c r="J391" s="9"/>
      <c r="K391" s="9"/>
      <c r="L391" s="9"/>
      <c r="M391" s="9"/>
      <c r="N391" s="10"/>
      <c r="O391" s="10"/>
      <c r="P391" s="13"/>
    </row>
    <row r="392" spans="4:16">
      <c r="D392" s="5">
        <v>289</v>
      </c>
      <c r="E392" s="5">
        <v>289</v>
      </c>
      <c r="F392" s="5" t="s">
        <v>788</v>
      </c>
      <c r="G392" s="5" t="s">
        <v>789</v>
      </c>
      <c r="H392" s="5" t="s">
        <v>790</v>
      </c>
      <c r="I392" s="11" t="s">
        <v>25</v>
      </c>
      <c r="J392" s="11">
        <v>2062</v>
      </c>
      <c r="K392" s="11" t="s">
        <v>18</v>
      </c>
      <c r="L392" s="11" t="s">
        <v>26</v>
      </c>
      <c r="M392" s="11">
        <v>25</v>
      </c>
      <c r="N392" s="12">
        <v>60</v>
      </c>
      <c r="O392" s="16">
        <f t="shared" ref="O392:O397" si="48">N392*M392</f>
        <v>1500</v>
      </c>
      <c r="P392" s="13"/>
    </row>
    <row r="393" spans="4:16">
      <c r="D393" s="5">
        <v>290</v>
      </c>
      <c r="E393" s="5">
        <v>290</v>
      </c>
      <c r="F393" s="5" t="s">
        <v>791</v>
      </c>
      <c r="G393" s="5" t="s">
        <v>792</v>
      </c>
      <c r="H393" s="5" t="s">
        <v>793</v>
      </c>
      <c r="I393" s="11" t="s">
        <v>25</v>
      </c>
      <c r="J393" s="11">
        <v>2062</v>
      </c>
      <c r="K393" s="11" t="s">
        <v>18</v>
      </c>
      <c r="L393" s="11" t="s">
        <v>26</v>
      </c>
      <c r="M393" s="11">
        <v>50</v>
      </c>
      <c r="N393" s="12">
        <v>50</v>
      </c>
      <c r="O393" s="16">
        <f t="shared" si="48"/>
        <v>2500</v>
      </c>
      <c r="P393" s="13"/>
    </row>
    <row r="394" ht="34.8" spans="4:16">
      <c r="D394" s="5">
        <v>291</v>
      </c>
      <c r="E394" s="5">
        <v>291</v>
      </c>
      <c r="F394" s="5" t="s">
        <v>794</v>
      </c>
      <c r="G394" s="5" t="s">
        <v>795</v>
      </c>
      <c r="H394" s="5" t="s">
        <v>796</v>
      </c>
      <c r="I394" s="11" t="s">
        <v>25</v>
      </c>
      <c r="J394" s="11">
        <v>2064</v>
      </c>
      <c r="K394" s="11" t="s">
        <v>18</v>
      </c>
      <c r="L394" s="11" t="s">
        <v>33</v>
      </c>
      <c r="M394" s="11">
        <v>4</v>
      </c>
      <c r="N394" s="12">
        <v>350</v>
      </c>
      <c r="O394" s="16">
        <f t="shared" si="48"/>
        <v>1400</v>
      </c>
      <c r="P394" s="13"/>
    </row>
    <row r="395" spans="4:16">
      <c r="D395" s="5">
        <v>292</v>
      </c>
      <c r="E395" s="5">
        <v>292</v>
      </c>
      <c r="F395" s="5" t="s">
        <v>797</v>
      </c>
      <c r="G395" s="5" t="s">
        <v>798</v>
      </c>
      <c r="H395" s="5" t="s">
        <v>799</v>
      </c>
      <c r="I395" s="11" t="s">
        <v>25</v>
      </c>
      <c r="J395" s="11">
        <v>2100</v>
      </c>
      <c r="K395" s="11" t="s">
        <v>18</v>
      </c>
      <c r="L395" s="11" t="s">
        <v>26</v>
      </c>
      <c r="M395" s="11">
        <v>25</v>
      </c>
      <c r="N395" s="12">
        <v>70</v>
      </c>
      <c r="O395" s="16">
        <f t="shared" si="48"/>
        <v>1750</v>
      </c>
      <c r="P395" s="13"/>
    </row>
    <row r="396" spans="4:16">
      <c r="D396" s="5">
        <v>293</v>
      </c>
      <c r="E396" s="5">
        <v>293</v>
      </c>
      <c r="F396" s="5" t="s">
        <v>800</v>
      </c>
      <c r="G396" s="5" t="s">
        <v>801</v>
      </c>
      <c r="H396" s="5" t="s">
        <v>802</v>
      </c>
      <c r="I396" s="11" t="s">
        <v>25</v>
      </c>
      <c r="J396" s="11">
        <v>2100</v>
      </c>
      <c r="K396" s="11" t="s">
        <v>18</v>
      </c>
      <c r="L396" s="11" t="s">
        <v>26</v>
      </c>
      <c r="M396" s="11">
        <v>30</v>
      </c>
      <c r="N396" s="12">
        <v>50</v>
      </c>
      <c r="O396" s="16">
        <f t="shared" si="48"/>
        <v>1500</v>
      </c>
      <c r="P396" s="13"/>
    </row>
    <row r="397" spans="4:16">
      <c r="D397" s="5">
        <v>294</v>
      </c>
      <c r="E397" s="5">
        <v>294</v>
      </c>
      <c r="F397" s="5" t="s">
        <v>803</v>
      </c>
      <c r="G397" s="5" t="s">
        <v>804</v>
      </c>
      <c r="H397" s="5" t="s">
        <v>805</v>
      </c>
      <c r="I397" s="11" t="s">
        <v>25</v>
      </c>
      <c r="J397" s="11">
        <v>2100</v>
      </c>
      <c r="K397" s="11" t="s">
        <v>18</v>
      </c>
      <c r="L397" s="11" t="s">
        <v>26</v>
      </c>
      <c r="M397" s="11">
        <v>20</v>
      </c>
      <c r="N397" s="12">
        <v>40</v>
      </c>
      <c r="O397" s="16">
        <f t="shared" si="48"/>
        <v>800</v>
      </c>
      <c r="P397" s="13"/>
    </row>
    <row r="398" spans="4:16">
      <c r="D398" s="4" t="s">
        <v>2</v>
      </c>
      <c r="E398" s="4" t="s">
        <v>3</v>
      </c>
      <c r="F398" s="4" t="s">
        <v>4</v>
      </c>
      <c r="G398" s="4" t="s">
        <v>5</v>
      </c>
      <c r="H398" s="4" t="s">
        <v>6</v>
      </c>
      <c r="I398" s="9" t="s">
        <v>7</v>
      </c>
      <c r="J398" s="9" t="s">
        <v>8</v>
      </c>
      <c r="K398" s="9" t="s">
        <v>9</v>
      </c>
      <c r="L398" s="9" t="s">
        <v>10</v>
      </c>
      <c r="M398" s="9" t="s">
        <v>11</v>
      </c>
      <c r="N398" s="10" t="s">
        <v>12</v>
      </c>
      <c r="O398" s="10" t="s">
        <v>13</v>
      </c>
      <c r="P398" s="13"/>
    </row>
    <row r="399" spans="4:16">
      <c r="D399" s="4"/>
      <c r="E399" s="4"/>
      <c r="F399" s="4"/>
      <c r="G399" s="4"/>
      <c r="H399" s="4"/>
      <c r="I399" s="9"/>
      <c r="J399" s="9"/>
      <c r="K399" s="9"/>
      <c r="L399" s="9"/>
      <c r="M399" s="9"/>
      <c r="N399" s="10"/>
      <c r="O399" s="10"/>
      <c r="P399" s="13"/>
    </row>
    <row r="400" spans="4:16">
      <c r="D400" s="5">
        <v>295</v>
      </c>
      <c r="E400" s="5">
        <v>295</v>
      </c>
      <c r="F400" s="5" t="s">
        <v>806</v>
      </c>
      <c r="G400" s="5" t="s">
        <v>807</v>
      </c>
      <c r="H400" s="5" t="s">
        <v>671</v>
      </c>
      <c r="I400" s="11" t="s">
        <v>25</v>
      </c>
      <c r="J400" s="11">
        <v>2100</v>
      </c>
      <c r="K400" s="11" t="s">
        <v>18</v>
      </c>
      <c r="L400" s="11" t="s">
        <v>26</v>
      </c>
      <c r="M400" s="11">
        <v>15</v>
      </c>
      <c r="N400" s="12">
        <v>35</v>
      </c>
      <c r="O400" s="16">
        <f t="shared" ref="O400:O405" si="49">N400*M400</f>
        <v>525</v>
      </c>
      <c r="P400" s="13"/>
    </row>
    <row r="401" ht="34.8" spans="4:16">
      <c r="D401" s="5">
        <v>296</v>
      </c>
      <c r="E401" s="5">
        <v>296</v>
      </c>
      <c r="F401" s="5" t="s">
        <v>808</v>
      </c>
      <c r="G401" s="5" t="s">
        <v>809</v>
      </c>
      <c r="H401" s="5" t="s">
        <v>810</v>
      </c>
      <c r="I401" s="11" t="s">
        <v>17</v>
      </c>
      <c r="J401" s="11"/>
      <c r="K401" s="11" t="s">
        <v>18</v>
      </c>
      <c r="L401" s="11" t="s">
        <v>33</v>
      </c>
      <c r="M401" s="11">
        <v>1</v>
      </c>
      <c r="N401" s="12">
        <v>560</v>
      </c>
      <c r="O401" s="16">
        <f t="shared" si="49"/>
        <v>560</v>
      </c>
      <c r="P401" s="13"/>
    </row>
    <row r="402" ht="34.8" spans="4:16">
      <c r="D402" s="5">
        <v>297</v>
      </c>
      <c r="E402" s="5">
        <v>297</v>
      </c>
      <c r="F402" s="5" t="s">
        <v>811</v>
      </c>
      <c r="G402" s="5" t="s">
        <v>812</v>
      </c>
      <c r="H402" s="5" t="s">
        <v>813</v>
      </c>
      <c r="I402" s="11" t="s">
        <v>25</v>
      </c>
      <c r="J402" s="11">
        <v>2063</v>
      </c>
      <c r="K402" s="11" t="s">
        <v>18</v>
      </c>
      <c r="L402" s="11" t="s">
        <v>33</v>
      </c>
      <c r="M402" s="11">
        <v>1</v>
      </c>
      <c r="N402" s="12">
        <v>840</v>
      </c>
      <c r="O402" s="16">
        <f t="shared" si="49"/>
        <v>840</v>
      </c>
      <c r="P402" s="13"/>
    </row>
    <row r="403" ht="69.6" spans="4:16">
      <c r="D403" s="5">
        <v>298</v>
      </c>
      <c r="E403" s="5">
        <v>298</v>
      </c>
      <c r="F403" s="5" t="s">
        <v>814</v>
      </c>
      <c r="G403" s="5" t="s">
        <v>815</v>
      </c>
      <c r="H403" s="5" t="s">
        <v>816</v>
      </c>
      <c r="I403" s="11" t="s">
        <v>25</v>
      </c>
      <c r="J403" s="11">
        <v>2067</v>
      </c>
      <c r="K403" s="11" t="s">
        <v>18</v>
      </c>
      <c r="L403" s="11" t="s">
        <v>33</v>
      </c>
      <c r="M403" s="11">
        <v>2</v>
      </c>
      <c r="N403" s="12">
        <v>3500</v>
      </c>
      <c r="O403" s="16">
        <f t="shared" si="49"/>
        <v>7000</v>
      </c>
      <c r="P403" s="13"/>
    </row>
    <row r="404" spans="4:16">
      <c r="D404" s="5">
        <v>299</v>
      </c>
      <c r="E404" s="5">
        <v>299</v>
      </c>
      <c r="F404" s="5" t="s">
        <v>817</v>
      </c>
      <c r="G404" s="5" t="s">
        <v>818</v>
      </c>
      <c r="H404" s="5" t="s">
        <v>819</v>
      </c>
      <c r="I404" s="11" t="s">
        <v>25</v>
      </c>
      <c r="J404" s="11">
        <v>2058</v>
      </c>
      <c r="K404" s="11" t="s">
        <v>18</v>
      </c>
      <c r="L404" s="11" t="s">
        <v>33</v>
      </c>
      <c r="M404" s="11">
        <v>1</v>
      </c>
      <c r="N404" s="12">
        <v>350</v>
      </c>
      <c r="O404" s="16">
        <f t="shared" si="49"/>
        <v>350</v>
      </c>
      <c r="P404" s="13"/>
    </row>
    <row r="405" spans="4:16">
      <c r="D405" s="5">
        <v>300</v>
      </c>
      <c r="E405" s="5">
        <v>300</v>
      </c>
      <c r="F405" s="5" t="s">
        <v>820</v>
      </c>
      <c r="G405" s="5" t="s">
        <v>821</v>
      </c>
      <c r="H405" s="5" t="s">
        <v>822</v>
      </c>
      <c r="I405" s="11" t="s">
        <v>25</v>
      </c>
      <c r="J405" s="11">
        <v>2058</v>
      </c>
      <c r="K405" s="11" t="s">
        <v>18</v>
      </c>
      <c r="L405" s="11" t="s">
        <v>33</v>
      </c>
      <c r="M405" s="11">
        <v>1</v>
      </c>
      <c r="N405" s="12">
        <v>350</v>
      </c>
      <c r="O405" s="16">
        <f t="shared" si="49"/>
        <v>350</v>
      </c>
      <c r="P405" s="13"/>
    </row>
    <row r="406" spans="4:16">
      <c r="D406" s="4" t="s">
        <v>2</v>
      </c>
      <c r="E406" s="4" t="s">
        <v>3</v>
      </c>
      <c r="F406" s="4" t="s">
        <v>4</v>
      </c>
      <c r="G406" s="4" t="s">
        <v>5</v>
      </c>
      <c r="H406" s="4" t="s">
        <v>6</v>
      </c>
      <c r="I406" s="9" t="s">
        <v>7</v>
      </c>
      <c r="J406" s="9" t="s">
        <v>8</v>
      </c>
      <c r="K406" s="9" t="s">
        <v>9</v>
      </c>
      <c r="L406" s="9" t="s">
        <v>10</v>
      </c>
      <c r="M406" s="9" t="s">
        <v>11</v>
      </c>
      <c r="N406" s="10" t="s">
        <v>12</v>
      </c>
      <c r="O406" s="10" t="s">
        <v>13</v>
      </c>
      <c r="P406" s="13"/>
    </row>
    <row r="407" spans="4:16">
      <c r="D407" s="4"/>
      <c r="E407" s="4"/>
      <c r="F407" s="4"/>
      <c r="G407" s="4"/>
      <c r="H407" s="4"/>
      <c r="I407" s="9"/>
      <c r="J407" s="9"/>
      <c r="K407" s="9"/>
      <c r="L407" s="9"/>
      <c r="M407" s="9"/>
      <c r="N407" s="10"/>
      <c r="O407" s="10"/>
      <c r="P407" s="13"/>
    </row>
    <row r="408" spans="4:16">
      <c r="D408" s="5">
        <v>301</v>
      </c>
      <c r="E408" s="5">
        <v>301</v>
      </c>
      <c r="F408" s="5" t="s">
        <v>823</v>
      </c>
      <c r="G408" s="5" t="s">
        <v>824</v>
      </c>
      <c r="H408" s="5" t="s">
        <v>683</v>
      </c>
      <c r="I408" s="11" t="s">
        <v>17</v>
      </c>
      <c r="J408" s="11"/>
      <c r="K408" s="11" t="s">
        <v>18</v>
      </c>
      <c r="L408" s="11" t="s">
        <v>33</v>
      </c>
      <c r="M408" s="11">
        <v>2</v>
      </c>
      <c r="N408" s="12">
        <v>350</v>
      </c>
      <c r="O408" s="16">
        <f t="shared" ref="O408:O413" si="50">N408*M408</f>
        <v>700</v>
      </c>
      <c r="P408" s="13"/>
    </row>
    <row r="409" ht="104.4" spans="4:16">
      <c r="D409" s="5">
        <v>302</v>
      </c>
      <c r="E409" s="5">
        <v>302</v>
      </c>
      <c r="F409" s="5" t="s">
        <v>825</v>
      </c>
      <c r="G409" s="5" t="s">
        <v>826</v>
      </c>
      <c r="H409" s="5" t="s">
        <v>827</v>
      </c>
      <c r="I409" s="11" t="s">
        <v>17</v>
      </c>
      <c r="J409" s="11"/>
      <c r="K409" s="11" t="s">
        <v>18</v>
      </c>
      <c r="L409" s="11" t="s">
        <v>33</v>
      </c>
      <c r="M409" s="11">
        <v>4</v>
      </c>
      <c r="N409" s="12">
        <v>3500</v>
      </c>
      <c r="O409" s="16">
        <f t="shared" si="50"/>
        <v>14000</v>
      </c>
      <c r="P409" s="13"/>
    </row>
    <row r="410" ht="52.2" spans="4:16">
      <c r="D410" s="5">
        <v>303</v>
      </c>
      <c r="E410" s="5">
        <v>303</v>
      </c>
      <c r="F410" s="5" t="s">
        <v>828</v>
      </c>
      <c r="G410" s="5" t="s">
        <v>829</v>
      </c>
      <c r="H410" s="5" t="s">
        <v>830</v>
      </c>
      <c r="I410" s="11" t="s">
        <v>25</v>
      </c>
      <c r="J410" s="11">
        <v>2055</v>
      </c>
      <c r="K410" s="11" t="s">
        <v>18</v>
      </c>
      <c r="L410" s="11" t="s">
        <v>26</v>
      </c>
      <c r="M410" s="11">
        <v>12</v>
      </c>
      <c r="N410" s="12">
        <v>100</v>
      </c>
      <c r="O410" s="16">
        <f t="shared" si="50"/>
        <v>1200</v>
      </c>
      <c r="P410" s="13"/>
    </row>
    <row r="411" spans="4:16">
      <c r="D411" s="5">
        <v>304</v>
      </c>
      <c r="E411" s="5">
        <v>304</v>
      </c>
      <c r="F411" s="5" t="s">
        <v>831</v>
      </c>
      <c r="G411" s="5" t="s">
        <v>832</v>
      </c>
      <c r="H411" s="5" t="s">
        <v>833</v>
      </c>
      <c r="I411" s="11" t="s">
        <v>25</v>
      </c>
      <c r="J411" s="11">
        <v>2055</v>
      </c>
      <c r="K411" s="11" t="s">
        <v>18</v>
      </c>
      <c r="L411" s="11" t="s">
        <v>26</v>
      </c>
      <c r="M411" s="11">
        <v>6</v>
      </c>
      <c r="N411" s="12">
        <v>100</v>
      </c>
      <c r="O411" s="16">
        <f t="shared" si="50"/>
        <v>600</v>
      </c>
      <c r="P411" s="13"/>
    </row>
    <row r="412" ht="52.2" spans="4:16">
      <c r="D412" s="5">
        <v>305</v>
      </c>
      <c r="E412" s="5">
        <v>305</v>
      </c>
      <c r="F412" s="5" t="s">
        <v>834</v>
      </c>
      <c r="G412" s="5" t="s">
        <v>835</v>
      </c>
      <c r="H412" s="5" t="s">
        <v>836</v>
      </c>
      <c r="I412" s="11" t="s">
        <v>25</v>
      </c>
      <c r="J412" s="11">
        <v>2058</v>
      </c>
      <c r="K412" s="11" t="s">
        <v>18</v>
      </c>
      <c r="L412" s="11" t="s">
        <v>26</v>
      </c>
      <c r="M412" s="11">
        <v>5</v>
      </c>
      <c r="N412" s="12">
        <v>140</v>
      </c>
      <c r="O412" s="16">
        <f t="shared" si="50"/>
        <v>700</v>
      </c>
      <c r="P412" s="13"/>
    </row>
    <row r="413" ht="34.8" spans="4:16">
      <c r="D413" s="5">
        <v>306</v>
      </c>
      <c r="E413" s="5">
        <v>306</v>
      </c>
      <c r="F413" s="5" t="s">
        <v>837</v>
      </c>
      <c r="G413" s="5" t="s">
        <v>838</v>
      </c>
      <c r="H413" s="5" t="s">
        <v>839</v>
      </c>
      <c r="I413" s="11" t="s">
        <v>25</v>
      </c>
      <c r="J413" s="11">
        <v>2053</v>
      </c>
      <c r="K413" s="11" t="s">
        <v>18</v>
      </c>
      <c r="L413" s="11" t="s">
        <v>33</v>
      </c>
      <c r="M413" s="11">
        <v>2</v>
      </c>
      <c r="N413" s="12">
        <v>840</v>
      </c>
      <c r="O413" s="16">
        <f t="shared" si="50"/>
        <v>1680</v>
      </c>
      <c r="P413" s="13"/>
    </row>
    <row r="414" spans="4:16">
      <c r="D414" s="4" t="s">
        <v>37</v>
      </c>
      <c r="E414" s="4" t="s">
        <v>3</v>
      </c>
      <c r="F414" s="4" t="s">
        <v>4</v>
      </c>
      <c r="G414" s="4" t="s">
        <v>5</v>
      </c>
      <c r="H414" s="4" t="s">
        <v>6</v>
      </c>
      <c r="I414" s="9" t="s">
        <v>7</v>
      </c>
      <c r="J414" s="9" t="s">
        <v>8</v>
      </c>
      <c r="K414" s="9" t="s">
        <v>9</v>
      </c>
      <c r="L414" s="9" t="s">
        <v>10</v>
      </c>
      <c r="M414" s="9" t="s">
        <v>11</v>
      </c>
      <c r="N414" s="10" t="s">
        <v>12</v>
      </c>
      <c r="O414" s="10" t="s">
        <v>13</v>
      </c>
      <c r="P414" s="13"/>
    </row>
    <row r="415" spans="4:16">
      <c r="D415" s="4"/>
      <c r="E415" s="4"/>
      <c r="F415" s="4"/>
      <c r="G415" s="4"/>
      <c r="H415" s="4"/>
      <c r="I415" s="9"/>
      <c r="J415" s="9"/>
      <c r="K415" s="9"/>
      <c r="L415" s="9"/>
      <c r="M415" s="9"/>
      <c r="N415" s="10"/>
      <c r="O415" s="10"/>
      <c r="P415" s="13"/>
    </row>
    <row r="416" ht="69.6" spans="4:16">
      <c r="D416" s="5">
        <v>307</v>
      </c>
      <c r="E416" s="5">
        <v>307</v>
      </c>
      <c r="F416" s="5" t="s">
        <v>840</v>
      </c>
      <c r="G416" s="5" t="s">
        <v>841</v>
      </c>
      <c r="H416" s="5" t="s">
        <v>632</v>
      </c>
      <c r="I416" s="11" t="s">
        <v>25</v>
      </c>
      <c r="J416" s="11">
        <v>2078</v>
      </c>
      <c r="K416" s="11" t="s">
        <v>18</v>
      </c>
      <c r="L416" s="11" t="s">
        <v>33</v>
      </c>
      <c r="M416" s="11">
        <v>3</v>
      </c>
      <c r="N416" s="12">
        <v>5600</v>
      </c>
      <c r="O416" s="16">
        <f t="shared" ref="O416:O421" si="51">N416*M416</f>
        <v>16800</v>
      </c>
      <c r="P416" s="13"/>
    </row>
    <row r="417" ht="34.8" spans="4:16">
      <c r="D417" s="5">
        <v>308</v>
      </c>
      <c r="E417" s="5">
        <v>308</v>
      </c>
      <c r="F417" s="5" t="s">
        <v>842</v>
      </c>
      <c r="G417" s="5" t="s">
        <v>843</v>
      </c>
      <c r="H417" s="5" t="s">
        <v>742</v>
      </c>
      <c r="I417" s="11" t="s">
        <v>25</v>
      </c>
      <c r="J417" s="11">
        <v>2079</v>
      </c>
      <c r="K417" s="11" t="s">
        <v>18</v>
      </c>
      <c r="L417" s="11" t="s">
        <v>33</v>
      </c>
      <c r="M417" s="11">
        <v>3</v>
      </c>
      <c r="N417" s="12">
        <v>700</v>
      </c>
      <c r="O417" s="16">
        <f t="shared" si="51"/>
        <v>2100</v>
      </c>
      <c r="P417" s="13"/>
    </row>
    <row r="418" ht="34.8" spans="4:16">
      <c r="D418" s="5">
        <v>309</v>
      </c>
      <c r="E418" s="5">
        <v>309</v>
      </c>
      <c r="F418" s="5" t="s">
        <v>844</v>
      </c>
      <c r="G418" s="5" t="s">
        <v>845</v>
      </c>
      <c r="H418" s="5" t="s">
        <v>846</v>
      </c>
      <c r="I418" s="11" t="s">
        <v>25</v>
      </c>
      <c r="J418" s="11">
        <v>2079</v>
      </c>
      <c r="K418" s="11" t="s">
        <v>18</v>
      </c>
      <c r="L418" s="11" t="s">
        <v>33</v>
      </c>
      <c r="M418" s="11">
        <v>3</v>
      </c>
      <c r="N418" s="12">
        <v>2500</v>
      </c>
      <c r="O418" s="16">
        <f t="shared" si="51"/>
        <v>7500</v>
      </c>
      <c r="P418" s="13"/>
    </row>
    <row r="419" ht="34.8" spans="4:16">
      <c r="D419" s="5">
        <v>310</v>
      </c>
      <c r="E419" s="5">
        <v>310</v>
      </c>
      <c r="F419" s="5" t="s">
        <v>847</v>
      </c>
      <c r="G419" s="5" t="s">
        <v>848</v>
      </c>
      <c r="H419" s="5" t="s">
        <v>849</v>
      </c>
      <c r="I419" s="11" t="s">
        <v>25</v>
      </c>
      <c r="J419" s="11">
        <v>2058</v>
      </c>
      <c r="K419" s="11" t="s">
        <v>18</v>
      </c>
      <c r="L419" s="11" t="s">
        <v>33</v>
      </c>
      <c r="M419" s="11">
        <v>3</v>
      </c>
      <c r="N419" s="12">
        <v>700</v>
      </c>
      <c r="O419" s="16">
        <f t="shared" si="51"/>
        <v>2100</v>
      </c>
      <c r="P419" s="13"/>
    </row>
    <row r="420" ht="34.8" spans="4:16">
      <c r="D420" s="5">
        <v>311</v>
      </c>
      <c r="E420" s="5">
        <v>311</v>
      </c>
      <c r="F420" s="5" t="s">
        <v>850</v>
      </c>
      <c r="G420" s="5" t="s">
        <v>851</v>
      </c>
      <c r="H420" s="5" t="s">
        <v>638</v>
      </c>
      <c r="I420" s="11" t="s">
        <v>25</v>
      </c>
      <c r="J420" s="11">
        <v>2058</v>
      </c>
      <c r="K420" s="11" t="s">
        <v>18</v>
      </c>
      <c r="L420" s="11" t="s">
        <v>33</v>
      </c>
      <c r="M420" s="11">
        <v>3</v>
      </c>
      <c r="N420" s="12">
        <v>700</v>
      </c>
      <c r="O420" s="16">
        <f t="shared" si="51"/>
        <v>2100</v>
      </c>
      <c r="P420" s="13"/>
    </row>
    <row r="421" spans="4:16">
      <c r="D421" s="5">
        <v>312</v>
      </c>
      <c r="E421" s="5">
        <v>312</v>
      </c>
      <c r="F421" s="5" t="s">
        <v>852</v>
      </c>
      <c r="G421" s="5" t="s">
        <v>853</v>
      </c>
      <c r="H421" s="5" t="s">
        <v>641</v>
      </c>
      <c r="I421" s="11" t="s">
        <v>25</v>
      </c>
      <c r="J421" s="11">
        <v>2058</v>
      </c>
      <c r="K421" s="11" t="s">
        <v>18</v>
      </c>
      <c r="L421" s="11" t="s">
        <v>33</v>
      </c>
      <c r="M421" s="11">
        <v>3</v>
      </c>
      <c r="N421" s="12">
        <v>205</v>
      </c>
      <c r="O421" s="16">
        <f t="shared" si="51"/>
        <v>615</v>
      </c>
      <c r="P421" s="13"/>
    </row>
    <row r="422" spans="4:16">
      <c r="D422" s="4" t="s">
        <v>37</v>
      </c>
      <c r="E422" s="4" t="s">
        <v>3</v>
      </c>
      <c r="F422" s="4" t="s">
        <v>4</v>
      </c>
      <c r="G422" s="4" t="s">
        <v>5</v>
      </c>
      <c r="H422" s="4" t="s">
        <v>6</v>
      </c>
      <c r="I422" s="9" t="s">
        <v>7</v>
      </c>
      <c r="J422" s="9" t="s">
        <v>8</v>
      </c>
      <c r="K422" s="9" t="s">
        <v>9</v>
      </c>
      <c r="L422" s="9" t="s">
        <v>10</v>
      </c>
      <c r="M422" s="9" t="s">
        <v>11</v>
      </c>
      <c r="N422" s="10" t="s">
        <v>12</v>
      </c>
      <c r="O422" s="10" t="s">
        <v>13</v>
      </c>
      <c r="P422" s="13"/>
    </row>
    <row r="423" spans="4:16">
      <c r="D423" s="4"/>
      <c r="E423" s="4"/>
      <c r="F423" s="4"/>
      <c r="G423" s="4"/>
      <c r="H423" s="4"/>
      <c r="I423" s="9"/>
      <c r="J423" s="9"/>
      <c r="K423" s="9"/>
      <c r="L423" s="9"/>
      <c r="M423" s="9"/>
      <c r="N423" s="10"/>
      <c r="O423" s="10"/>
      <c r="P423" s="13"/>
    </row>
    <row r="424" ht="34.8" spans="4:16">
      <c r="D424" s="5">
        <v>313</v>
      </c>
      <c r="E424" s="5">
        <v>313</v>
      </c>
      <c r="F424" s="5" t="s">
        <v>854</v>
      </c>
      <c r="G424" s="5" t="s">
        <v>855</v>
      </c>
      <c r="H424" s="5" t="s">
        <v>783</v>
      </c>
      <c r="I424" s="11" t="s">
        <v>25</v>
      </c>
      <c r="J424" s="11">
        <v>2058</v>
      </c>
      <c r="K424" s="11" t="s">
        <v>18</v>
      </c>
      <c r="L424" s="11" t="s">
        <v>26</v>
      </c>
      <c r="M424" s="11">
        <v>20</v>
      </c>
      <c r="N424" s="12">
        <v>160</v>
      </c>
      <c r="O424" s="16">
        <f t="shared" ref="O424:O429" si="52">N424*M424</f>
        <v>3200</v>
      </c>
      <c r="P424" s="13"/>
    </row>
    <row r="425" spans="4:16">
      <c r="D425" s="5">
        <v>314</v>
      </c>
      <c r="E425" s="5">
        <v>314</v>
      </c>
      <c r="F425" s="5" t="s">
        <v>856</v>
      </c>
      <c r="G425" s="5" t="s">
        <v>857</v>
      </c>
      <c r="H425" s="5" t="s">
        <v>647</v>
      </c>
      <c r="I425" s="11" t="s">
        <v>25</v>
      </c>
      <c r="J425" s="11">
        <v>2062</v>
      </c>
      <c r="K425" s="11" t="s">
        <v>18</v>
      </c>
      <c r="L425" s="11" t="s">
        <v>26</v>
      </c>
      <c r="M425" s="11">
        <v>15</v>
      </c>
      <c r="N425" s="12">
        <v>120</v>
      </c>
      <c r="O425" s="16">
        <f t="shared" si="52"/>
        <v>1800</v>
      </c>
      <c r="P425" s="13"/>
    </row>
    <row r="426" spans="4:16">
      <c r="D426" s="5">
        <v>315</v>
      </c>
      <c r="E426" s="5">
        <v>315</v>
      </c>
      <c r="F426" s="5" t="s">
        <v>858</v>
      </c>
      <c r="G426" s="5" t="s">
        <v>859</v>
      </c>
      <c r="H426" s="5" t="s">
        <v>650</v>
      </c>
      <c r="I426" s="11" t="s">
        <v>25</v>
      </c>
      <c r="J426" s="11">
        <v>2062</v>
      </c>
      <c r="K426" s="11" t="s">
        <v>18</v>
      </c>
      <c r="L426" s="11" t="s">
        <v>26</v>
      </c>
      <c r="M426" s="11">
        <v>2</v>
      </c>
      <c r="N426" s="12">
        <v>70</v>
      </c>
      <c r="O426" s="16">
        <f t="shared" si="52"/>
        <v>140</v>
      </c>
      <c r="P426" s="13"/>
    </row>
    <row r="427" spans="4:16">
      <c r="D427" s="5">
        <v>316</v>
      </c>
      <c r="E427" s="5">
        <v>316</v>
      </c>
      <c r="F427" s="5" t="s">
        <v>860</v>
      </c>
      <c r="G427" s="5" t="s">
        <v>861</v>
      </c>
      <c r="H427" s="5" t="s">
        <v>653</v>
      </c>
      <c r="I427" s="11" t="s">
        <v>25</v>
      </c>
      <c r="J427" s="11">
        <v>2062</v>
      </c>
      <c r="K427" s="11" t="s">
        <v>18</v>
      </c>
      <c r="L427" s="11" t="s">
        <v>26</v>
      </c>
      <c r="M427" s="11">
        <v>5</v>
      </c>
      <c r="N427" s="12">
        <v>35</v>
      </c>
      <c r="O427" s="16">
        <f t="shared" si="52"/>
        <v>175</v>
      </c>
      <c r="P427" s="13"/>
    </row>
    <row r="428" ht="34.8" spans="4:16">
      <c r="D428" s="5">
        <v>317</v>
      </c>
      <c r="E428" s="5">
        <v>317</v>
      </c>
      <c r="F428" s="5" t="s">
        <v>862</v>
      </c>
      <c r="G428" s="5" t="s">
        <v>863</v>
      </c>
      <c r="H428" s="5" t="s">
        <v>656</v>
      </c>
      <c r="I428" s="11" t="s">
        <v>25</v>
      </c>
      <c r="J428" s="11">
        <v>2058</v>
      </c>
      <c r="K428" s="11" t="s">
        <v>18</v>
      </c>
      <c r="L428" s="11" t="s">
        <v>33</v>
      </c>
      <c r="M428" s="11">
        <v>3</v>
      </c>
      <c r="N428" s="12">
        <v>700</v>
      </c>
      <c r="O428" s="16">
        <f t="shared" si="52"/>
        <v>2100</v>
      </c>
      <c r="P428" s="13"/>
    </row>
    <row r="429" ht="34.8" spans="4:16">
      <c r="D429" s="5">
        <v>318</v>
      </c>
      <c r="E429" s="5">
        <v>318</v>
      </c>
      <c r="F429" s="5" t="s">
        <v>864</v>
      </c>
      <c r="G429" s="5" t="s">
        <v>865</v>
      </c>
      <c r="H429" s="5" t="s">
        <v>659</v>
      </c>
      <c r="I429" s="11" t="s">
        <v>25</v>
      </c>
      <c r="J429" s="11">
        <v>2058</v>
      </c>
      <c r="K429" s="11" t="s">
        <v>18</v>
      </c>
      <c r="L429" s="11" t="s">
        <v>33</v>
      </c>
      <c r="M429" s="11">
        <v>3</v>
      </c>
      <c r="N429" s="12">
        <v>350</v>
      </c>
      <c r="O429" s="16">
        <f t="shared" si="52"/>
        <v>1050</v>
      </c>
      <c r="P429" s="13"/>
    </row>
    <row r="430" spans="4:16">
      <c r="D430" s="4" t="s">
        <v>2</v>
      </c>
      <c r="E430" s="4" t="s">
        <v>3</v>
      </c>
      <c r="F430" s="4" t="s">
        <v>4</v>
      </c>
      <c r="G430" s="4" t="s">
        <v>5</v>
      </c>
      <c r="H430" s="4" t="s">
        <v>6</v>
      </c>
      <c r="I430" s="9" t="s">
        <v>7</v>
      </c>
      <c r="J430" s="9" t="s">
        <v>8</v>
      </c>
      <c r="K430" s="9" t="s">
        <v>9</v>
      </c>
      <c r="L430" s="9" t="s">
        <v>10</v>
      </c>
      <c r="M430" s="9" t="s">
        <v>11</v>
      </c>
      <c r="N430" s="10" t="s">
        <v>12</v>
      </c>
      <c r="O430" s="10" t="s">
        <v>13</v>
      </c>
      <c r="P430" s="13"/>
    </row>
    <row r="431" spans="4:16">
      <c r="D431" s="4"/>
      <c r="E431" s="4"/>
      <c r="F431" s="4"/>
      <c r="G431" s="4"/>
      <c r="H431" s="4"/>
      <c r="I431" s="9"/>
      <c r="J431" s="9"/>
      <c r="K431" s="9"/>
      <c r="L431" s="9"/>
      <c r="M431" s="9"/>
      <c r="N431" s="10"/>
      <c r="O431" s="10"/>
      <c r="P431" s="13"/>
    </row>
    <row r="432" spans="4:16">
      <c r="D432" s="5">
        <v>319</v>
      </c>
      <c r="E432" s="5">
        <v>319</v>
      </c>
      <c r="F432" s="5" t="s">
        <v>866</v>
      </c>
      <c r="G432" s="5" t="s">
        <v>867</v>
      </c>
      <c r="H432" s="5" t="s">
        <v>778</v>
      </c>
      <c r="I432" s="11" t="s">
        <v>25</v>
      </c>
      <c r="J432" s="11">
        <v>2058</v>
      </c>
      <c r="K432" s="11" t="s">
        <v>18</v>
      </c>
      <c r="L432" s="11" t="s">
        <v>33</v>
      </c>
      <c r="M432" s="11">
        <v>3</v>
      </c>
      <c r="N432" s="12">
        <v>350</v>
      </c>
      <c r="O432" s="16">
        <f t="shared" ref="O432:O437" si="53">N432*M432</f>
        <v>1050</v>
      </c>
      <c r="P432" s="13"/>
    </row>
    <row r="433" spans="4:16">
      <c r="D433" s="5">
        <v>320</v>
      </c>
      <c r="E433" s="5">
        <v>320</v>
      </c>
      <c r="F433" s="5" t="s">
        <v>868</v>
      </c>
      <c r="G433" s="5" t="s">
        <v>869</v>
      </c>
      <c r="H433" s="5" t="s">
        <v>665</v>
      </c>
      <c r="I433" s="11" t="s">
        <v>25</v>
      </c>
      <c r="J433" s="11">
        <v>2058</v>
      </c>
      <c r="K433" s="11" t="s">
        <v>18</v>
      </c>
      <c r="L433" s="11" t="s">
        <v>33</v>
      </c>
      <c r="M433" s="11">
        <v>3</v>
      </c>
      <c r="N433" s="12">
        <v>350</v>
      </c>
      <c r="O433" s="16">
        <f t="shared" si="53"/>
        <v>1050</v>
      </c>
      <c r="P433" s="13"/>
    </row>
    <row r="434" ht="52.2" spans="4:16">
      <c r="D434" s="5">
        <v>321</v>
      </c>
      <c r="E434" s="5">
        <v>321</v>
      </c>
      <c r="F434" s="5" t="s">
        <v>870</v>
      </c>
      <c r="G434" s="5" t="s">
        <v>871</v>
      </c>
      <c r="H434" s="5" t="s">
        <v>872</v>
      </c>
      <c r="I434" s="11" t="s">
        <v>25</v>
      </c>
      <c r="J434" s="11">
        <v>2058</v>
      </c>
      <c r="K434" s="11" t="s">
        <v>18</v>
      </c>
      <c r="L434" s="11" t="s">
        <v>26</v>
      </c>
      <c r="M434" s="11">
        <v>20</v>
      </c>
      <c r="N434" s="12">
        <v>40</v>
      </c>
      <c r="O434" s="16">
        <f t="shared" si="53"/>
        <v>800</v>
      </c>
      <c r="P434" s="13"/>
    </row>
    <row r="435" spans="4:16">
      <c r="D435" s="5">
        <v>322</v>
      </c>
      <c r="E435" s="5">
        <v>322</v>
      </c>
      <c r="F435" s="5" t="s">
        <v>873</v>
      </c>
      <c r="G435" s="5" t="s">
        <v>874</v>
      </c>
      <c r="H435" s="5" t="s">
        <v>671</v>
      </c>
      <c r="I435" s="11" t="s">
        <v>25</v>
      </c>
      <c r="J435" s="11">
        <v>2058</v>
      </c>
      <c r="K435" s="11" t="s">
        <v>18</v>
      </c>
      <c r="L435" s="11" t="s">
        <v>26</v>
      </c>
      <c r="M435" s="11">
        <v>10</v>
      </c>
      <c r="N435" s="12">
        <v>40</v>
      </c>
      <c r="O435" s="16">
        <f t="shared" si="53"/>
        <v>400</v>
      </c>
      <c r="P435" s="13"/>
    </row>
    <row r="436" spans="4:16">
      <c r="D436" s="5">
        <v>323</v>
      </c>
      <c r="E436" s="5">
        <v>323</v>
      </c>
      <c r="F436" s="5" t="s">
        <v>875</v>
      </c>
      <c r="G436" s="5" t="s">
        <v>876</v>
      </c>
      <c r="H436" s="5" t="s">
        <v>802</v>
      </c>
      <c r="I436" s="11" t="s">
        <v>25</v>
      </c>
      <c r="J436" s="11">
        <v>2058</v>
      </c>
      <c r="K436" s="11" t="s">
        <v>18</v>
      </c>
      <c r="L436" s="11" t="s">
        <v>26</v>
      </c>
      <c r="M436" s="11">
        <v>15</v>
      </c>
      <c r="N436" s="12">
        <v>50</v>
      </c>
      <c r="O436" s="16">
        <f t="shared" si="53"/>
        <v>750</v>
      </c>
      <c r="P436" s="13"/>
    </row>
    <row r="437" ht="34.8" spans="4:16">
      <c r="D437" s="5">
        <v>324</v>
      </c>
      <c r="E437" s="5">
        <v>324</v>
      </c>
      <c r="F437" s="5" t="s">
        <v>877</v>
      </c>
      <c r="G437" s="5" t="s">
        <v>878</v>
      </c>
      <c r="H437" s="5" t="s">
        <v>879</v>
      </c>
      <c r="I437" s="11" t="s">
        <v>25</v>
      </c>
      <c r="J437" s="11">
        <v>2063</v>
      </c>
      <c r="K437" s="11" t="s">
        <v>18</v>
      </c>
      <c r="L437" s="11" t="s">
        <v>33</v>
      </c>
      <c r="M437" s="11">
        <v>6</v>
      </c>
      <c r="N437" s="12">
        <v>560</v>
      </c>
      <c r="O437" s="16">
        <f t="shared" si="53"/>
        <v>3360</v>
      </c>
      <c r="P437" s="13"/>
    </row>
    <row r="438" spans="4:16">
      <c r="D438" s="4" t="s">
        <v>37</v>
      </c>
      <c r="E438" s="4" t="s">
        <v>3</v>
      </c>
      <c r="F438" s="4" t="s">
        <v>4</v>
      </c>
      <c r="G438" s="4" t="s">
        <v>5</v>
      </c>
      <c r="H438" s="4" t="s">
        <v>6</v>
      </c>
      <c r="I438" s="9" t="s">
        <v>7</v>
      </c>
      <c r="J438" s="9" t="s">
        <v>8</v>
      </c>
      <c r="K438" s="9" t="s">
        <v>9</v>
      </c>
      <c r="L438" s="9" t="s">
        <v>10</v>
      </c>
      <c r="M438" s="9" t="s">
        <v>11</v>
      </c>
      <c r="N438" s="10" t="s">
        <v>12</v>
      </c>
      <c r="O438" s="10" t="s">
        <v>13</v>
      </c>
      <c r="P438" s="13"/>
    </row>
    <row r="439" spans="4:16">
      <c r="D439" s="4"/>
      <c r="E439" s="4"/>
      <c r="F439" s="4"/>
      <c r="G439" s="4"/>
      <c r="H439" s="4"/>
      <c r="I439" s="9"/>
      <c r="J439" s="9"/>
      <c r="K439" s="9"/>
      <c r="L439" s="9"/>
      <c r="M439" s="9"/>
      <c r="N439" s="10"/>
      <c r="O439" s="10"/>
      <c r="P439" s="13"/>
    </row>
    <row r="440" ht="69.6" spans="4:17">
      <c r="D440" s="5">
        <v>325</v>
      </c>
      <c r="E440" s="5">
        <v>325</v>
      </c>
      <c r="F440" s="5" t="s">
        <v>880</v>
      </c>
      <c r="G440" s="5" t="s">
        <v>881</v>
      </c>
      <c r="H440" s="5" t="s">
        <v>677</v>
      </c>
      <c r="I440" s="11" t="s">
        <v>25</v>
      </c>
      <c r="J440" s="11">
        <v>2067</v>
      </c>
      <c r="K440" s="11" t="s">
        <v>18</v>
      </c>
      <c r="L440" s="11" t="s">
        <v>33</v>
      </c>
      <c r="M440" s="11">
        <v>6</v>
      </c>
      <c r="N440" s="12">
        <v>7000</v>
      </c>
      <c r="O440" s="16">
        <f t="shared" ref="O440:O445" si="54">N440*M440</f>
        <v>42000</v>
      </c>
      <c r="P440" s="13"/>
      <c r="Q440" s="1" t="s">
        <v>882</v>
      </c>
    </row>
    <row r="441" spans="4:16">
      <c r="D441" s="5">
        <v>326</v>
      </c>
      <c r="E441" s="5">
        <v>326</v>
      </c>
      <c r="F441" s="5" t="s">
        <v>883</v>
      </c>
      <c r="G441" s="5" t="s">
        <v>884</v>
      </c>
      <c r="H441" s="5" t="s">
        <v>680</v>
      </c>
      <c r="I441" s="11" t="s">
        <v>25</v>
      </c>
      <c r="J441" s="11">
        <v>2058</v>
      </c>
      <c r="K441" s="11" t="s">
        <v>18</v>
      </c>
      <c r="L441" s="11" t="s">
        <v>33</v>
      </c>
      <c r="M441" s="11">
        <v>6</v>
      </c>
      <c r="N441" s="12">
        <v>350</v>
      </c>
      <c r="O441" s="16">
        <f t="shared" si="54"/>
        <v>2100</v>
      </c>
      <c r="P441" s="13"/>
    </row>
    <row r="442" spans="4:16">
      <c r="D442" s="5">
        <v>327</v>
      </c>
      <c r="E442" s="5">
        <v>327</v>
      </c>
      <c r="F442" s="5" t="s">
        <v>885</v>
      </c>
      <c r="G442" s="5" t="s">
        <v>886</v>
      </c>
      <c r="H442" s="5" t="s">
        <v>683</v>
      </c>
      <c r="I442" s="11" t="s">
        <v>17</v>
      </c>
      <c r="J442" s="11"/>
      <c r="K442" s="11" t="s">
        <v>18</v>
      </c>
      <c r="L442" s="11" t="s">
        <v>33</v>
      </c>
      <c r="M442" s="11">
        <v>6</v>
      </c>
      <c r="N442" s="12">
        <v>350</v>
      </c>
      <c r="O442" s="16">
        <f t="shared" si="54"/>
        <v>2100</v>
      </c>
      <c r="P442" s="13"/>
    </row>
    <row r="443" ht="87" spans="4:16">
      <c r="D443" s="5">
        <v>328</v>
      </c>
      <c r="E443" s="5">
        <v>328</v>
      </c>
      <c r="F443" s="5" t="s">
        <v>887</v>
      </c>
      <c r="G443" s="5" t="s">
        <v>888</v>
      </c>
      <c r="H443" s="5" t="s">
        <v>889</v>
      </c>
      <c r="I443" s="11" t="s">
        <v>17</v>
      </c>
      <c r="J443" s="11"/>
      <c r="K443" s="11" t="s">
        <v>18</v>
      </c>
      <c r="L443" s="11" t="s">
        <v>33</v>
      </c>
      <c r="M443" s="11">
        <v>6</v>
      </c>
      <c r="N443" s="12">
        <v>840</v>
      </c>
      <c r="O443" s="16">
        <f t="shared" si="54"/>
        <v>5040</v>
      </c>
      <c r="P443" s="13"/>
    </row>
    <row r="444" ht="34.8" spans="4:16">
      <c r="D444" s="5">
        <v>329</v>
      </c>
      <c r="E444" s="5">
        <v>329</v>
      </c>
      <c r="F444" s="5" t="s">
        <v>890</v>
      </c>
      <c r="G444" s="5" t="s">
        <v>891</v>
      </c>
      <c r="H444" s="5" t="s">
        <v>892</v>
      </c>
      <c r="I444" s="11" t="s">
        <v>25</v>
      </c>
      <c r="J444" s="11">
        <v>2079</v>
      </c>
      <c r="K444" s="11" t="s">
        <v>18</v>
      </c>
      <c r="L444" s="11" t="s">
        <v>33</v>
      </c>
      <c r="M444" s="11">
        <v>11</v>
      </c>
      <c r="N444" s="12">
        <v>48300</v>
      </c>
      <c r="O444" s="16">
        <f t="shared" si="54"/>
        <v>531300</v>
      </c>
      <c r="P444" s="13"/>
    </row>
    <row r="445" ht="34.8" spans="4:16">
      <c r="D445" s="5">
        <v>330</v>
      </c>
      <c r="E445" s="5">
        <v>330</v>
      </c>
      <c r="F445" s="5" t="s">
        <v>893</v>
      </c>
      <c r="G445" s="5" t="s">
        <v>894</v>
      </c>
      <c r="H445" s="5" t="s">
        <v>895</v>
      </c>
      <c r="I445" s="11" t="s">
        <v>17</v>
      </c>
      <c r="J445" s="11"/>
      <c r="K445" s="11" t="s">
        <v>18</v>
      </c>
      <c r="L445" s="11" t="s">
        <v>33</v>
      </c>
      <c r="M445" s="11">
        <v>11</v>
      </c>
      <c r="N445" s="12">
        <v>1400</v>
      </c>
      <c r="O445" s="16">
        <f t="shared" si="54"/>
        <v>15400</v>
      </c>
      <c r="P445" s="13"/>
    </row>
    <row r="446" spans="4:16">
      <c r="D446" s="4" t="s">
        <v>2</v>
      </c>
      <c r="E446" s="4" t="s">
        <v>3</v>
      </c>
      <c r="F446" s="4" t="s">
        <v>4</v>
      </c>
      <c r="G446" s="4" t="s">
        <v>5</v>
      </c>
      <c r="H446" s="4" t="s">
        <v>6</v>
      </c>
      <c r="I446" s="9" t="s">
        <v>7</v>
      </c>
      <c r="J446" s="9" t="s">
        <v>8</v>
      </c>
      <c r="K446" s="9" t="s">
        <v>9</v>
      </c>
      <c r="L446" s="9" t="s">
        <v>10</v>
      </c>
      <c r="M446" s="9" t="s">
        <v>11</v>
      </c>
      <c r="N446" s="10" t="s">
        <v>12</v>
      </c>
      <c r="O446" s="10" t="s">
        <v>13</v>
      </c>
      <c r="P446" s="13"/>
    </row>
    <row r="447" spans="4:16">
      <c r="D447" s="4"/>
      <c r="E447" s="4"/>
      <c r="F447" s="4"/>
      <c r="G447" s="4"/>
      <c r="H447" s="4"/>
      <c r="I447" s="9"/>
      <c r="J447" s="9"/>
      <c r="K447" s="9"/>
      <c r="L447" s="9"/>
      <c r="M447" s="9"/>
      <c r="N447" s="10"/>
      <c r="O447" s="10"/>
      <c r="P447" s="13"/>
    </row>
    <row r="448" ht="34.8" spans="4:16">
      <c r="D448" s="5">
        <v>331</v>
      </c>
      <c r="E448" s="5">
        <v>331</v>
      </c>
      <c r="F448" s="5" t="s">
        <v>896</v>
      </c>
      <c r="G448" s="5" t="s">
        <v>897</v>
      </c>
      <c r="H448" s="5" t="s">
        <v>783</v>
      </c>
      <c r="I448" s="11" t="s">
        <v>25</v>
      </c>
      <c r="J448" s="11">
        <v>2065</v>
      </c>
      <c r="K448" s="11" t="s">
        <v>18</v>
      </c>
      <c r="L448" s="11" t="s">
        <v>26</v>
      </c>
      <c r="M448" s="11">
        <v>65</v>
      </c>
      <c r="N448" s="12">
        <v>160</v>
      </c>
      <c r="O448" s="16">
        <f t="shared" ref="O448:O453" si="55">N448*M448</f>
        <v>10400</v>
      </c>
      <c r="P448" s="13"/>
    </row>
    <row r="449" ht="34.8" spans="4:16">
      <c r="D449" s="5">
        <v>332</v>
      </c>
      <c r="E449" s="5">
        <v>332</v>
      </c>
      <c r="F449" s="5" t="s">
        <v>898</v>
      </c>
      <c r="G449" s="5" t="s">
        <v>899</v>
      </c>
      <c r="H449" s="5" t="s">
        <v>796</v>
      </c>
      <c r="I449" s="11" t="s">
        <v>25</v>
      </c>
      <c r="J449" s="11">
        <v>2064</v>
      </c>
      <c r="K449" s="11" t="s">
        <v>18</v>
      </c>
      <c r="L449" s="11" t="s">
        <v>33</v>
      </c>
      <c r="M449" s="11">
        <v>4</v>
      </c>
      <c r="N449" s="12">
        <v>700</v>
      </c>
      <c r="O449" s="16">
        <f t="shared" si="55"/>
        <v>2800</v>
      </c>
      <c r="P449" s="13"/>
    </row>
    <row r="450" ht="104.4" spans="4:16">
      <c r="D450" s="5">
        <v>333</v>
      </c>
      <c r="E450" s="5">
        <v>333</v>
      </c>
      <c r="F450" s="5" t="s">
        <v>900</v>
      </c>
      <c r="G450" s="5" t="s">
        <v>901</v>
      </c>
      <c r="H450" s="5" t="s">
        <v>827</v>
      </c>
      <c r="I450" s="11" t="s">
        <v>17</v>
      </c>
      <c r="J450" s="11"/>
      <c r="K450" s="11" t="s">
        <v>18</v>
      </c>
      <c r="L450" s="11" t="s">
        <v>33</v>
      </c>
      <c r="M450" s="11">
        <v>3</v>
      </c>
      <c r="N450" s="12">
        <v>3500</v>
      </c>
      <c r="O450" s="16">
        <f t="shared" si="55"/>
        <v>10500</v>
      </c>
      <c r="P450" s="13"/>
    </row>
    <row r="451" ht="52.2" spans="4:16">
      <c r="D451" s="5">
        <v>334</v>
      </c>
      <c r="E451" s="5">
        <v>334</v>
      </c>
      <c r="F451" s="5" t="s">
        <v>902</v>
      </c>
      <c r="G451" s="5" t="s">
        <v>903</v>
      </c>
      <c r="H451" s="5" t="s">
        <v>904</v>
      </c>
      <c r="I451" s="11" t="s">
        <v>25</v>
      </c>
      <c r="J451" s="11">
        <v>2055</v>
      </c>
      <c r="K451" s="11" t="s">
        <v>18</v>
      </c>
      <c r="L451" s="11" t="s">
        <v>26</v>
      </c>
      <c r="M451" s="11">
        <v>325</v>
      </c>
      <c r="N451" s="12">
        <v>70</v>
      </c>
      <c r="O451" s="16">
        <f t="shared" si="55"/>
        <v>22750</v>
      </c>
      <c r="P451" s="13"/>
    </row>
    <row r="452" ht="34.8" spans="4:16">
      <c r="D452" s="5">
        <v>335</v>
      </c>
      <c r="E452" s="5">
        <v>335</v>
      </c>
      <c r="F452" s="5" t="s">
        <v>905</v>
      </c>
      <c r="G452" s="5" t="s">
        <v>906</v>
      </c>
      <c r="H452" s="5" t="s">
        <v>907</v>
      </c>
      <c r="I452" s="11" t="s">
        <v>25</v>
      </c>
      <c r="J452" s="11">
        <v>2055</v>
      </c>
      <c r="K452" s="11" t="s">
        <v>18</v>
      </c>
      <c r="L452" s="11" t="s">
        <v>26</v>
      </c>
      <c r="M452" s="11">
        <v>185</v>
      </c>
      <c r="N452" s="12">
        <v>210</v>
      </c>
      <c r="O452" s="16">
        <f t="shared" si="55"/>
        <v>38850</v>
      </c>
      <c r="P452" s="13"/>
    </row>
    <row r="453" ht="52.2" spans="4:16">
      <c r="D453" s="5">
        <v>336</v>
      </c>
      <c r="E453" s="5">
        <v>336</v>
      </c>
      <c r="F453" s="5" t="s">
        <v>908</v>
      </c>
      <c r="G453" s="5" t="s">
        <v>909</v>
      </c>
      <c r="H453" s="5" t="s">
        <v>910</v>
      </c>
      <c r="I453" s="11" t="s">
        <v>17</v>
      </c>
      <c r="J453" s="11"/>
      <c r="K453" s="11" t="s">
        <v>18</v>
      </c>
      <c r="L453" s="11" t="s">
        <v>33</v>
      </c>
      <c r="M453" s="11">
        <v>1</v>
      </c>
      <c r="N453" s="12">
        <v>2450</v>
      </c>
      <c r="O453" s="16">
        <f t="shared" si="55"/>
        <v>2450</v>
      </c>
      <c r="P453" s="13"/>
    </row>
    <row r="454" spans="4:16">
      <c r="D454" s="4" t="s">
        <v>37</v>
      </c>
      <c r="E454" s="4" t="s">
        <v>3</v>
      </c>
      <c r="F454" s="4" t="s">
        <v>4</v>
      </c>
      <c r="G454" s="4" t="s">
        <v>5</v>
      </c>
      <c r="H454" s="4" t="s">
        <v>6</v>
      </c>
      <c r="I454" s="9" t="s">
        <v>7</v>
      </c>
      <c r="J454" s="9" t="s">
        <v>8</v>
      </c>
      <c r="K454" s="9" t="s">
        <v>9</v>
      </c>
      <c r="L454" s="9" t="s">
        <v>10</v>
      </c>
      <c r="M454" s="9" t="s">
        <v>11</v>
      </c>
      <c r="N454" s="10" t="s">
        <v>12</v>
      </c>
      <c r="O454" s="10" t="s">
        <v>13</v>
      </c>
      <c r="P454" s="13"/>
    </row>
    <row r="455" spans="4:16">
      <c r="D455" s="4"/>
      <c r="E455" s="4"/>
      <c r="F455" s="4"/>
      <c r="G455" s="4"/>
      <c r="H455" s="4"/>
      <c r="I455" s="9"/>
      <c r="J455" s="9"/>
      <c r="K455" s="9"/>
      <c r="L455" s="9"/>
      <c r="M455" s="9"/>
      <c r="N455" s="10"/>
      <c r="O455" s="10"/>
      <c r="P455" s="13"/>
    </row>
    <row r="456" ht="52.2" spans="4:16">
      <c r="D456" s="5">
        <v>337</v>
      </c>
      <c r="E456" s="5">
        <v>337</v>
      </c>
      <c r="F456" s="5" t="s">
        <v>911</v>
      </c>
      <c r="G456" s="5" t="s">
        <v>912</v>
      </c>
      <c r="H456" s="5" t="s">
        <v>913</v>
      </c>
      <c r="I456" s="11" t="s">
        <v>17</v>
      </c>
      <c r="J456" s="11"/>
      <c r="K456" s="11" t="s">
        <v>18</v>
      </c>
      <c r="L456" s="11" t="s">
        <v>33</v>
      </c>
      <c r="M456" s="11">
        <v>1</v>
      </c>
      <c r="N456" s="12">
        <v>4200</v>
      </c>
      <c r="O456" s="16">
        <f t="shared" ref="O456:O461" si="56">N456*M456</f>
        <v>4200</v>
      </c>
      <c r="P456" s="13"/>
    </row>
    <row r="457" spans="4:16">
      <c r="D457" s="5">
        <v>338</v>
      </c>
      <c r="E457" s="5">
        <v>338</v>
      </c>
      <c r="F457" s="5" t="s">
        <v>914</v>
      </c>
      <c r="G457" s="5" t="s">
        <v>915</v>
      </c>
      <c r="H457" s="5" t="s">
        <v>916</v>
      </c>
      <c r="I457" s="11" t="s">
        <v>17</v>
      </c>
      <c r="J457" s="11"/>
      <c r="K457" s="11" t="s">
        <v>18</v>
      </c>
      <c r="L457" s="11" t="s">
        <v>33</v>
      </c>
      <c r="M457" s="11">
        <v>211</v>
      </c>
      <c r="N457" s="12">
        <v>35</v>
      </c>
      <c r="O457" s="16">
        <f t="shared" si="56"/>
        <v>7385</v>
      </c>
      <c r="P457" s="13"/>
    </row>
    <row r="458" ht="34.8" spans="4:16">
      <c r="D458" s="5">
        <v>339</v>
      </c>
      <c r="E458" s="5">
        <v>339</v>
      </c>
      <c r="F458" s="5" t="s">
        <v>917</v>
      </c>
      <c r="G458" s="5" t="s">
        <v>918</v>
      </c>
      <c r="H458" s="5" t="s">
        <v>919</v>
      </c>
      <c r="I458" s="11" t="s">
        <v>17</v>
      </c>
      <c r="J458" s="11"/>
      <c r="K458" s="11" t="s">
        <v>18</v>
      </c>
      <c r="L458" s="11" t="s">
        <v>33</v>
      </c>
      <c r="M458" s="11">
        <v>1</v>
      </c>
      <c r="N458" s="12">
        <v>3500</v>
      </c>
      <c r="O458" s="16">
        <f t="shared" si="56"/>
        <v>3500</v>
      </c>
      <c r="P458" s="13"/>
    </row>
    <row r="459" ht="34.8" spans="4:16">
      <c r="D459" s="5">
        <v>340</v>
      </c>
      <c r="E459" s="5">
        <v>340</v>
      </c>
      <c r="F459" s="5" t="s">
        <v>920</v>
      </c>
      <c r="G459" s="5" t="s">
        <v>921</v>
      </c>
      <c r="H459" s="5" t="s">
        <v>922</v>
      </c>
      <c r="I459" s="11" t="s">
        <v>17</v>
      </c>
      <c r="J459" s="11"/>
      <c r="K459" s="11" t="s">
        <v>18</v>
      </c>
      <c r="L459" s="11" t="s">
        <v>33</v>
      </c>
      <c r="M459" s="11">
        <v>1</v>
      </c>
      <c r="N459" s="12">
        <v>8400</v>
      </c>
      <c r="O459" s="16">
        <f t="shared" si="56"/>
        <v>8400</v>
      </c>
      <c r="P459" s="13"/>
    </row>
    <row r="460" ht="34.8" spans="4:16">
      <c r="D460" s="5">
        <v>341</v>
      </c>
      <c r="E460" s="5">
        <v>341</v>
      </c>
      <c r="F460" s="5" t="s">
        <v>923</v>
      </c>
      <c r="G460" s="5" t="s">
        <v>924</v>
      </c>
      <c r="H460" s="5" t="s">
        <v>925</v>
      </c>
      <c r="I460" s="11" t="s">
        <v>17</v>
      </c>
      <c r="J460" s="11"/>
      <c r="K460" s="11" t="s">
        <v>18</v>
      </c>
      <c r="L460" s="11" t="s">
        <v>33</v>
      </c>
      <c r="M460" s="11">
        <v>1</v>
      </c>
      <c r="N460" s="12">
        <v>87500</v>
      </c>
      <c r="O460" s="16">
        <f t="shared" si="56"/>
        <v>87500</v>
      </c>
      <c r="P460" s="13"/>
    </row>
    <row r="461" ht="104.4" spans="4:16">
      <c r="D461" s="5">
        <v>342</v>
      </c>
      <c r="E461" s="5">
        <v>342</v>
      </c>
      <c r="F461" s="5" t="s">
        <v>926</v>
      </c>
      <c r="G461" s="5" t="s">
        <v>927</v>
      </c>
      <c r="H461" s="5" t="s">
        <v>928</v>
      </c>
      <c r="I461" s="11" t="s">
        <v>25</v>
      </c>
      <c r="J461" s="11">
        <v>2080</v>
      </c>
      <c r="K461" s="11" t="s">
        <v>18</v>
      </c>
      <c r="L461" s="11" t="s">
        <v>33</v>
      </c>
      <c r="M461" s="11">
        <v>1</v>
      </c>
      <c r="N461" s="12">
        <v>175000</v>
      </c>
      <c r="O461" s="16">
        <f t="shared" si="56"/>
        <v>175000</v>
      </c>
      <c r="P461" s="13"/>
    </row>
    <row r="462" spans="4:16">
      <c r="D462" s="4" t="s">
        <v>37</v>
      </c>
      <c r="E462" s="4" t="s">
        <v>3</v>
      </c>
      <c r="F462" s="4" t="s">
        <v>4</v>
      </c>
      <c r="G462" s="4" t="s">
        <v>5</v>
      </c>
      <c r="H462" s="4" t="s">
        <v>6</v>
      </c>
      <c r="I462" s="9" t="s">
        <v>7</v>
      </c>
      <c r="J462" s="9" t="s">
        <v>8</v>
      </c>
      <c r="K462" s="9" t="s">
        <v>9</v>
      </c>
      <c r="L462" s="9" t="s">
        <v>10</v>
      </c>
      <c r="M462" s="9" t="s">
        <v>11</v>
      </c>
      <c r="N462" s="10" t="s">
        <v>12</v>
      </c>
      <c r="O462" s="10" t="s">
        <v>13</v>
      </c>
      <c r="P462" s="13"/>
    </row>
    <row r="463" spans="4:16">
      <c r="D463" s="4"/>
      <c r="E463" s="4"/>
      <c r="F463" s="4"/>
      <c r="G463" s="4"/>
      <c r="H463" s="4"/>
      <c r="I463" s="9"/>
      <c r="J463" s="9"/>
      <c r="K463" s="9"/>
      <c r="L463" s="9"/>
      <c r="M463" s="9"/>
      <c r="N463" s="10"/>
      <c r="O463" s="10"/>
      <c r="P463" s="13"/>
    </row>
    <row r="464" ht="87" spans="4:16">
      <c r="D464" s="5">
        <v>343</v>
      </c>
      <c r="E464" s="5">
        <v>343</v>
      </c>
      <c r="F464" s="5" t="s">
        <v>929</v>
      </c>
      <c r="G464" s="5" t="s">
        <v>930</v>
      </c>
      <c r="H464" s="5" t="s">
        <v>931</v>
      </c>
      <c r="I464" s="11" t="s">
        <v>25</v>
      </c>
      <c r="J464" s="11">
        <v>2080</v>
      </c>
      <c r="K464" s="11" t="s">
        <v>18</v>
      </c>
      <c r="L464" s="11" t="s">
        <v>33</v>
      </c>
      <c r="M464" s="11">
        <v>1</v>
      </c>
      <c r="N464" s="12">
        <v>140000</v>
      </c>
      <c r="O464" s="16">
        <f t="shared" ref="O464:O469" si="57">N464*M464</f>
        <v>140000</v>
      </c>
      <c r="P464" s="13"/>
    </row>
    <row r="465" ht="52.2" spans="4:16">
      <c r="D465" s="5">
        <v>344</v>
      </c>
      <c r="E465" s="5">
        <v>344</v>
      </c>
      <c r="F465" s="5" t="s">
        <v>932</v>
      </c>
      <c r="G465" s="5" t="s">
        <v>933</v>
      </c>
      <c r="H465" s="5" t="s">
        <v>934</v>
      </c>
      <c r="I465" s="11" t="s">
        <v>17</v>
      </c>
      <c r="J465" s="11"/>
      <c r="K465" s="11" t="s">
        <v>18</v>
      </c>
      <c r="L465" s="11" t="s">
        <v>33</v>
      </c>
      <c r="M465" s="11">
        <v>1</v>
      </c>
      <c r="N465" s="12">
        <v>42000</v>
      </c>
      <c r="O465" s="16">
        <f t="shared" si="57"/>
        <v>42000</v>
      </c>
      <c r="P465" s="13"/>
    </row>
    <row r="466" ht="34.8" spans="4:16">
      <c r="D466" s="5">
        <v>345</v>
      </c>
      <c r="E466" s="5">
        <v>345</v>
      </c>
      <c r="F466" s="5" t="s">
        <v>935</v>
      </c>
      <c r="G466" s="5" t="s">
        <v>936</v>
      </c>
      <c r="H466" s="5" t="s">
        <v>937</v>
      </c>
      <c r="I466" s="11" t="s">
        <v>25</v>
      </c>
      <c r="J466" s="11">
        <v>2096</v>
      </c>
      <c r="K466" s="11" t="s">
        <v>18</v>
      </c>
      <c r="L466" s="11" t="s">
        <v>26</v>
      </c>
      <c r="M466" s="11">
        <v>10</v>
      </c>
      <c r="N466" s="12">
        <v>168</v>
      </c>
      <c r="O466" s="16">
        <f t="shared" si="57"/>
        <v>1680</v>
      </c>
      <c r="P466" s="13"/>
    </row>
    <row r="467" ht="87" spans="4:16">
      <c r="D467" s="5">
        <v>346</v>
      </c>
      <c r="E467" s="5">
        <v>346</v>
      </c>
      <c r="F467" s="5" t="s">
        <v>938</v>
      </c>
      <c r="G467" s="5" t="s">
        <v>939</v>
      </c>
      <c r="H467" s="5" t="s">
        <v>940</v>
      </c>
      <c r="I467" s="11" t="s">
        <v>25</v>
      </c>
      <c r="J467" s="11">
        <v>2096</v>
      </c>
      <c r="K467" s="11" t="s">
        <v>18</v>
      </c>
      <c r="L467" s="11" t="s">
        <v>33</v>
      </c>
      <c r="M467" s="11">
        <v>1</v>
      </c>
      <c r="N467" s="12">
        <v>35000</v>
      </c>
      <c r="O467" s="16">
        <f t="shared" si="57"/>
        <v>35000</v>
      </c>
      <c r="P467" s="13"/>
    </row>
    <row r="468" ht="34.8" spans="4:16">
      <c r="D468" s="5">
        <v>347</v>
      </c>
      <c r="E468" s="5">
        <v>347</v>
      </c>
      <c r="F468" s="5" t="s">
        <v>941</v>
      </c>
      <c r="G468" s="5" t="s">
        <v>942</v>
      </c>
      <c r="H468" s="5" t="s">
        <v>943</v>
      </c>
      <c r="I468" s="11" t="s">
        <v>25</v>
      </c>
      <c r="J468" s="11">
        <v>2096</v>
      </c>
      <c r="K468" s="11" t="s">
        <v>18</v>
      </c>
      <c r="L468" s="11" t="s">
        <v>33</v>
      </c>
      <c r="M468" s="11">
        <v>1</v>
      </c>
      <c r="N468" s="12">
        <v>35000</v>
      </c>
      <c r="O468" s="16">
        <f t="shared" si="57"/>
        <v>35000</v>
      </c>
      <c r="P468" s="13"/>
    </row>
    <row r="469" ht="121.8" spans="4:16">
      <c r="D469" s="5">
        <v>348</v>
      </c>
      <c r="E469" s="5">
        <v>348</v>
      </c>
      <c r="F469" s="5" t="s">
        <v>944</v>
      </c>
      <c r="G469" s="5" t="s">
        <v>945</v>
      </c>
      <c r="H469" s="5" t="s">
        <v>946</v>
      </c>
      <c r="I469" s="11" t="s">
        <v>25</v>
      </c>
      <c r="J469" s="11">
        <v>2096</v>
      </c>
      <c r="K469" s="11" t="s">
        <v>18</v>
      </c>
      <c r="L469" s="11" t="s">
        <v>33</v>
      </c>
      <c r="M469" s="11">
        <v>1</v>
      </c>
      <c r="N469" s="12">
        <v>59500</v>
      </c>
      <c r="O469" s="16">
        <f t="shared" si="57"/>
        <v>59500</v>
      </c>
      <c r="P469" s="13"/>
    </row>
    <row r="470" spans="4:16">
      <c r="D470" s="4" t="s">
        <v>37</v>
      </c>
      <c r="E470" s="4" t="s">
        <v>3</v>
      </c>
      <c r="F470" s="4" t="s">
        <v>4</v>
      </c>
      <c r="G470" s="4" t="s">
        <v>5</v>
      </c>
      <c r="H470" s="4" t="s">
        <v>6</v>
      </c>
      <c r="I470" s="9" t="s">
        <v>7</v>
      </c>
      <c r="J470" s="9" t="s">
        <v>8</v>
      </c>
      <c r="K470" s="9" t="s">
        <v>9</v>
      </c>
      <c r="L470" s="9" t="s">
        <v>10</v>
      </c>
      <c r="M470" s="9" t="s">
        <v>11</v>
      </c>
      <c r="N470" s="10" t="s">
        <v>12</v>
      </c>
      <c r="O470" s="10" t="s">
        <v>13</v>
      </c>
      <c r="P470" s="13"/>
    </row>
    <row r="471" spans="4:16">
      <c r="D471" s="4"/>
      <c r="E471" s="4"/>
      <c r="F471" s="4"/>
      <c r="G471" s="4"/>
      <c r="H471" s="4"/>
      <c r="I471" s="9"/>
      <c r="J471" s="9"/>
      <c r="K471" s="9"/>
      <c r="L471" s="9"/>
      <c r="M471" s="9"/>
      <c r="N471" s="10"/>
      <c r="O471" s="10"/>
      <c r="P471" s="13"/>
    </row>
    <row r="472" ht="139.2" spans="4:16">
      <c r="D472" s="5">
        <v>349</v>
      </c>
      <c r="E472" s="5">
        <v>349</v>
      </c>
      <c r="F472" s="5" t="s">
        <v>947</v>
      </c>
      <c r="G472" s="5" t="s">
        <v>948</v>
      </c>
      <c r="H472" s="5" t="s">
        <v>949</v>
      </c>
      <c r="I472" s="11" t="s">
        <v>25</v>
      </c>
      <c r="J472" s="11">
        <v>2096</v>
      </c>
      <c r="K472" s="11" t="s">
        <v>18</v>
      </c>
      <c r="L472" s="11" t="s">
        <v>33</v>
      </c>
      <c r="M472" s="11">
        <v>1</v>
      </c>
      <c r="N472" s="12">
        <v>38500</v>
      </c>
      <c r="O472" s="16">
        <f t="shared" ref="O472:O477" si="58">N472*M472</f>
        <v>38500</v>
      </c>
      <c r="P472" s="13"/>
    </row>
    <row r="473" ht="52.2" spans="4:16">
      <c r="D473" s="5">
        <v>350</v>
      </c>
      <c r="E473" s="5">
        <v>350</v>
      </c>
      <c r="F473" s="5" t="s">
        <v>950</v>
      </c>
      <c r="G473" s="5" t="s">
        <v>951</v>
      </c>
      <c r="H473" s="5" t="s">
        <v>952</v>
      </c>
      <c r="I473" s="11" t="s">
        <v>25</v>
      </c>
      <c r="J473" s="11">
        <v>2095</v>
      </c>
      <c r="K473" s="11" t="s">
        <v>18</v>
      </c>
      <c r="L473" s="11" t="s">
        <v>33</v>
      </c>
      <c r="M473" s="11">
        <v>1</v>
      </c>
      <c r="N473" s="12">
        <v>38500</v>
      </c>
      <c r="O473" s="16">
        <f t="shared" si="58"/>
        <v>38500</v>
      </c>
      <c r="P473" s="13"/>
    </row>
    <row r="474" spans="4:16">
      <c r="D474" s="5">
        <v>351</v>
      </c>
      <c r="E474" s="5">
        <v>351</v>
      </c>
      <c r="F474" s="5" t="s">
        <v>953</v>
      </c>
      <c r="G474" s="5" t="s">
        <v>954</v>
      </c>
      <c r="H474" s="5" t="s">
        <v>955</v>
      </c>
      <c r="I474" s="11" t="s">
        <v>17</v>
      </c>
      <c r="J474" s="11"/>
      <c r="K474" s="11" t="s">
        <v>18</v>
      </c>
      <c r="L474" s="11" t="s">
        <v>33</v>
      </c>
      <c r="M474" s="11">
        <v>1</v>
      </c>
      <c r="N474" s="12">
        <v>24500</v>
      </c>
      <c r="O474" s="16">
        <f t="shared" si="58"/>
        <v>24500</v>
      </c>
      <c r="P474" s="13"/>
    </row>
    <row r="475" ht="34.8" spans="4:16">
      <c r="D475" s="5">
        <v>352</v>
      </c>
      <c r="E475" s="5">
        <v>352</v>
      </c>
      <c r="F475" s="5" t="s">
        <v>956</v>
      </c>
      <c r="G475" s="5" t="s">
        <v>957</v>
      </c>
      <c r="H475" s="5" t="s">
        <v>958</v>
      </c>
      <c r="I475" s="11" t="s">
        <v>17</v>
      </c>
      <c r="J475" s="11"/>
      <c r="K475" s="11" t="s">
        <v>18</v>
      </c>
      <c r="L475" s="11" t="s">
        <v>33</v>
      </c>
      <c r="M475" s="11">
        <v>1</v>
      </c>
      <c r="N475" s="12">
        <v>16800</v>
      </c>
      <c r="O475" s="16">
        <f t="shared" si="58"/>
        <v>16800</v>
      </c>
      <c r="P475" s="13"/>
    </row>
    <row r="476" spans="4:16">
      <c r="D476" s="5">
        <v>353</v>
      </c>
      <c r="E476" s="5">
        <v>353</v>
      </c>
      <c r="F476" s="5" t="s">
        <v>959</v>
      </c>
      <c r="G476" s="5" t="s">
        <v>960</v>
      </c>
      <c r="H476" s="5" t="s">
        <v>961</v>
      </c>
      <c r="I476" s="11" t="s">
        <v>25</v>
      </c>
      <c r="J476" s="11">
        <v>2094</v>
      </c>
      <c r="K476" s="11" t="s">
        <v>18</v>
      </c>
      <c r="L476" s="11" t="s">
        <v>26</v>
      </c>
      <c r="M476" s="11">
        <v>10</v>
      </c>
      <c r="N476" s="12">
        <v>300</v>
      </c>
      <c r="O476" s="16">
        <f t="shared" si="58"/>
        <v>3000</v>
      </c>
      <c r="P476" s="13"/>
    </row>
    <row r="477" spans="4:16">
      <c r="D477" s="5">
        <v>354</v>
      </c>
      <c r="E477" s="5">
        <v>354</v>
      </c>
      <c r="F477" s="5" t="s">
        <v>962</v>
      </c>
      <c r="G477" s="5" t="s">
        <v>963</v>
      </c>
      <c r="H477" s="5" t="s">
        <v>964</v>
      </c>
      <c r="I477" s="11" t="s">
        <v>25</v>
      </c>
      <c r="J477" s="11">
        <v>2094</v>
      </c>
      <c r="K477" s="11" t="s">
        <v>18</v>
      </c>
      <c r="L477" s="11" t="s">
        <v>26</v>
      </c>
      <c r="M477" s="11">
        <v>65</v>
      </c>
      <c r="N477" s="12">
        <v>270</v>
      </c>
      <c r="O477" s="16">
        <f t="shared" si="58"/>
        <v>17550</v>
      </c>
      <c r="P477" s="13"/>
    </row>
    <row r="478" spans="4:16">
      <c r="D478" s="4" t="s">
        <v>2</v>
      </c>
      <c r="E478" s="4" t="s">
        <v>3</v>
      </c>
      <c r="F478" s="4" t="s">
        <v>4</v>
      </c>
      <c r="G478" s="4" t="s">
        <v>5</v>
      </c>
      <c r="H478" s="4" t="s">
        <v>6</v>
      </c>
      <c r="I478" s="9" t="s">
        <v>7</v>
      </c>
      <c r="J478" s="9" t="s">
        <v>8</v>
      </c>
      <c r="K478" s="9" t="s">
        <v>9</v>
      </c>
      <c r="L478" s="9" t="s">
        <v>10</v>
      </c>
      <c r="M478" s="9" t="s">
        <v>11</v>
      </c>
      <c r="N478" s="10" t="s">
        <v>12</v>
      </c>
      <c r="O478" s="10" t="s">
        <v>13</v>
      </c>
      <c r="P478" s="13"/>
    </row>
    <row r="479" spans="4:16">
      <c r="D479" s="4"/>
      <c r="E479" s="4"/>
      <c r="F479" s="4"/>
      <c r="G479" s="4"/>
      <c r="H479" s="4"/>
      <c r="I479" s="9"/>
      <c r="J479" s="9"/>
      <c r="K479" s="9"/>
      <c r="L479" s="9"/>
      <c r="M479" s="9"/>
      <c r="N479" s="10"/>
      <c r="O479" s="10"/>
      <c r="P479" s="13"/>
    </row>
    <row r="480" spans="4:16">
      <c r="D480" s="5">
        <v>355</v>
      </c>
      <c r="E480" s="5">
        <v>355</v>
      </c>
      <c r="F480" s="5" t="s">
        <v>965</v>
      </c>
      <c r="G480" s="5" t="s">
        <v>966</v>
      </c>
      <c r="H480" s="5" t="s">
        <v>967</v>
      </c>
      <c r="I480" s="11" t="s">
        <v>25</v>
      </c>
      <c r="J480" s="11">
        <v>2094</v>
      </c>
      <c r="K480" s="11" t="s">
        <v>18</v>
      </c>
      <c r="L480" s="11" t="s">
        <v>26</v>
      </c>
      <c r="M480" s="11">
        <v>150</v>
      </c>
      <c r="N480" s="12">
        <v>100</v>
      </c>
      <c r="O480" s="16">
        <f t="shared" ref="O480:O485" si="59">N480*M480</f>
        <v>15000</v>
      </c>
      <c r="P480" s="13"/>
    </row>
    <row r="481" spans="4:16">
      <c r="D481" s="5">
        <v>356</v>
      </c>
      <c r="E481" s="5">
        <v>356</v>
      </c>
      <c r="F481" s="5" t="s">
        <v>968</v>
      </c>
      <c r="G481" s="5" t="s">
        <v>969</v>
      </c>
      <c r="H481" s="5" t="s">
        <v>970</v>
      </c>
      <c r="I481" s="11" t="s">
        <v>25</v>
      </c>
      <c r="J481" s="11">
        <v>2094</v>
      </c>
      <c r="K481" s="11" t="s">
        <v>18</v>
      </c>
      <c r="L481" s="11" t="s">
        <v>26</v>
      </c>
      <c r="M481" s="11">
        <v>150</v>
      </c>
      <c r="N481" s="12">
        <v>70</v>
      </c>
      <c r="O481" s="16">
        <f t="shared" si="59"/>
        <v>10500</v>
      </c>
      <c r="P481" s="13"/>
    </row>
    <row r="482" spans="4:16">
      <c r="D482" s="5">
        <v>357</v>
      </c>
      <c r="E482" s="5">
        <v>357</v>
      </c>
      <c r="F482" s="5" t="s">
        <v>971</v>
      </c>
      <c r="G482" s="5" t="s">
        <v>972</v>
      </c>
      <c r="H482" s="5" t="s">
        <v>973</v>
      </c>
      <c r="I482" s="11" t="s">
        <v>25</v>
      </c>
      <c r="J482" s="11">
        <v>2094</v>
      </c>
      <c r="K482" s="11" t="s">
        <v>18</v>
      </c>
      <c r="L482" s="11" t="s">
        <v>26</v>
      </c>
      <c r="M482" s="11">
        <v>230</v>
      </c>
      <c r="N482" s="12">
        <v>70</v>
      </c>
      <c r="O482" s="16">
        <f t="shared" si="59"/>
        <v>16100</v>
      </c>
      <c r="P482" s="13"/>
    </row>
    <row r="483" spans="4:16">
      <c r="D483" s="5">
        <v>358</v>
      </c>
      <c r="E483" s="5">
        <v>358</v>
      </c>
      <c r="F483" s="5" t="s">
        <v>974</v>
      </c>
      <c r="G483" s="5" t="s">
        <v>975</v>
      </c>
      <c r="H483" s="5" t="s">
        <v>976</v>
      </c>
      <c r="I483" s="11" t="s">
        <v>25</v>
      </c>
      <c r="J483" s="11">
        <v>2094</v>
      </c>
      <c r="K483" s="11" t="s">
        <v>18</v>
      </c>
      <c r="L483" s="11" t="s">
        <v>26</v>
      </c>
      <c r="M483" s="11">
        <v>230</v>
      </c>
      <c r="N483" s="12">
        <v>70</v>
      </c>
      <c r="O483" s="16">
        <f t="shared" si="59"/>
        <v>16100</v>
      </c>
      <c r="P483" s="13"/>
    </row>
    <row r="484" spans="4:16">
      <c r="D484" s="5">
        <v>359</v>
      </c>
      <c r="E484" s="5">
        <v>359</v>
      </c>
      <c r="F484" s="5" t="s">
        <v>977</v>
      </c>
      <c r="G484" s="5" t="s">
        <v>978</v>
      </c>
      <c r="H484" s="5" t="s">
        <v>979</v>
      </c>
      <c r="I484" s="11" t="s">
        <v>25</v>
      </c>
      <c r="J484" s="11">
        <v>2094</v>
      </c>
      <c r="K484" s="11" t="s">
        <v>18</v>
      </c>
      <c r="L484" s="11" t="s">
        <v>26</v>
      </c>
      <c r="M484" s="11">
        <v>50</v>
      </c>
      <c r="N484" s="12">
        <v>70</v>
      </c>
      <c r="O484" s="16">
        <f t="shared" si="59"/>
        <v>3500</v>
      </c>
      <c r="P484" s="13"/>
    </row>
    <row r="485" spans="4:16">
      <c r="D485" s="5">
        <v>360</v>
      </c>
      <c r="E485" s="5">
        <v>360</v>
      </c>
      <c r="F485" s="5" t="s">
        <v>980</v>
      </c>
      <c r="G485" s="5" t="s">
        <v>981</v>
      </c>
      <c r="H485" s="5" t="s">
        <v>982</v>
      </c>
      <c r="I485" s="11" t="s">
        <v>25</v>
      </c>
      <c r="J485" s="11">
        <v>2094</v>
      </c>
      <c r="K485" s="11" t="s">
        <v>18</v>
      </c>
      <c r="L485" s="11" t="s">
        <v>26</v>
      </c>
      <c r="M485" s="11">
        <v>10</v>
      </c>
      <c r="N485" s="12">
        <v>70</v>
      </c>
      <c r="O485" s="16">
        <f t="shared" si="59"/>
        <v>700</v>
      </c>
      <c r="P485" s="13"/>
    </row>
    <row r="486" spans="4:16">
      <c r="D486" s="4" t="s">
        <v>2</v>
      </c>
      <c r="E486" s="4" t="s">
        <v>3</v>
      </c>
      <c r="F486" s="4" t="s">
        <v>4</v>
      </c>
      <c r="G486" s="4" t="s">
        <v>5</v>
      </c>
      <c r="H486" s="4" t="s">
        <v>6</v>
      </c>
      <c r="I486" s="9" t="s">
        <v>7</v>
      </c>
      <c r="J486" s="9" t="s">
        <v>8</v>
      </c>
      <c r="K486" s="9" t="s">
        <v>9</v>
      </c>
      <c r="L486" s="9" t="s">
        <v>10</v>
      </c>
      <c r="M486" s="9" t="s">
        <v>11</v>
      </c>
      <c r="N486" s="10" t="s">
        <v>12</v>
      </c>
      <c r="O486" s="10" t="s">
        <v>13</v>
      </c>
      <c r="P486" s="13"/>
    </row>
    <row r="487" spans="4:16">
      <c r="D487" s="4"/>
      <c r="E487" s="4"/>
      <c r="F487" s="4"/>
      <c r="G487" s="4"/>
      <c r="H487" s="4"/>
      <c r="I487" s="9"/>
      <c r="J487" s="9"/>
      <c r="K487" s="9"/>
      <c r="L487" s="9"/>
      <c r="M487" s="9"/>
      <c r="N487" s="10"/>
      <c r="O487" s="10"/>
      <c r="P487" s="13"/>
    </row>
    <row r="488" spans="4:16">
      <c r="D488" s="5">
        <v>361</v>
      </c>
      <c r="E488" s="5">
        <v>361</v>
      </c>
      <c r="F488" s="5" t="s">
        <v>983</v>
      </c>
      <c r="G488" s="5" t="s">
        <v>984</v>
      </c>
      <c r="H488" s="5" t="s">
        <v>985</v>
      </c>
      <c r="I488" s="11" t="s">
        <v>25</v>
      </c>
      <c r="J488" s="11">
        <v>2088</v>
      </c>
      <c r="K488" s="11" t="s">
        <v>18</v>
      </c>
      <c r="L488" s="11" t="s">
        <v>33</v>
      </c>
      <c r="M488" s="11">
        <v>4</v>
      </c>
      <c r="N488" s="12">
        <v>140</v>
      </c>
      <c r="O488" s="16">
        <f t="shared" ref="O488:O493" si="60">N488*M488</f>
        <v>560</v>
      </c>
      <c r="P488" s="13"/>
    </row>
    <row r="489" ht="34.8" spans="4:16">
      <c r="D489" s="5">
        <v>362</v>
      </c>
      <c r="E489" s="5">
        <v>362</v>
      </c>
      <c r="F489" s="5" t="s">
        <v>986</v>
      </c>
      <c r="G489" s="5" t="s">
        <v>987</v>
      </c>
      <c r="H489" s="5" t="s">
        <v>988</v>
      </c>
      <c r="I489" s="11" t="s">
        <v>25</v>
      </c>
      <c r="J489" s="11">
        <v>2095</v>
      </c>
      <c r="K489" s="11" t="s">
        <v>18</v>
      </c>
      <c r="L489" s="11" t="s">
        <v>33</v>
      </c>
      <c r="M489" s="11">
        <v>4</v>
      </c>
      <c r="N489" s="12">
        <v>140</v>
      </c>
      <c r="O489" s="16">
        <f t="shared" si="60"/>
        <v>560</v>
      </c>
      <c r="P489" s="13"/>
    </row>
    <row r="490" spans="4:16">
      <c r="D490" s="5">
        <v>363</v>
      </c>
      <c r="E490" s="5">
        <v>363</v>
      </c>
      <c r="F490" s="5" t="s">
        <v>989</v>
      </c>
      <c r="G490" s="5" t="s">
        <v>990</v>
      </c>
      <c r="H490" s="5" t="s">
        <v>991</v>
      </c>
      <c r="I490" s="11" t="s">
        <v>25</v>
      </c>
      <c r="J490" s="11">
        <v>2095</v>
      </c>
      <c r="K490" s="11" t="s">
        <v>18</v>
      </c>
      <c r="L490" s="11" t="s">
        <v>33</v>
      </c>
      <c r="M490" s="11">
        <v>4</v>
      </c>
      <c r="N490" s="12">
        <v>140</v>
      </c>
      <c r="O490" s="16">
        <f t="shared" si="60"/>
        <v>560</v>
      </c>
      <c r="P490" s="13"/>
    </row>
    <row r="491" spans="4:16">
      <c r="D491" s="5">
        <v>364</v>
      </c>
      <c r="E491" s="5">
        <v>364</v>
      </c>
      <c r="F491" s="5" t="s">
        <v>992</v>
      </c>
      <c r="G491" s="5" t="s">
        <v>993</v>
      </c>
      <c r="H491" s="5" t="s">
        <v>994</v>
      </c>
      <c r="I491" s="11" t="s">
        <v>25</v>
      </c>
      <c r="J491" s="11">
        <v>2091</v>
      </c>
      <c r="K491" s="11" t="s">
        <v>18</v>
      </c>
      <c r="L491" s="11" t="s">
        <v>33</v>
      </c>
      <c r="M491" s="11">
        <v>17</v>
      </c>
      <c r="N491" s="12">
        <v>70</v>
      </c>
      <c r="O491" s="16">
        <f t="shared" si="60"/>
        <v>1190</v>
      </c>
      <c r="P491" s="13"/>
    </row>
    <row r="492" ht="34.8" spans="4:16">
      <c r="D492" s="5">
        <v>365</v>
      </c>
      <c r="E492" s="5">
        <v>365</v>
      </c>
      <c r="F492" s="5" t="s">
        <v>995</v>
      </c>
      <c r="G492" s="5" t="s">
        <v>996</v>
      </c>
      <c r="H492" s="5" t="s">
        <v>997</v>
      </c>
      <c r="I492" s="11" t="s">
        <v>25</v>
      </c>
      <c r="J492" s="11">
        <v>2087</v>
      </c>
      <c r="K492" s="11" t="s">
        <v>18</v>
      </c>
      <c r="L492" s="11" t="s">
        <v>33</v>
      </c>
      <c r="M492" s="11">
        <v>4</v>
      </c>
      <c r="N492" s="12">
        <v>105</v>
      </c>
      <c r="O492" s="16">
        <f t="shared" si="60"/>
        <v>420</v>
      </c>
      <c r="P492" s="13"/>
    </row>
    <row r="493" ht="34.8" spans="4:16">
      <c r="D493" s="5">
        <v>366</v>
      </c>
      <c r="E493" s="5">
        <v>366</v>
      </c>
      <c r="F493" s="5" t="s">
        <v>998</v>
      </c>
      <c r="G493" s="5" t="s">
        <v>999</v>
      </c>
      <c r="H493" s="5" t="s">
        <v>1000</v>
      </c>
      <c r="I493" s="11" t="s">
        <v>25</v>
      </c>
      <c r="J493" s="11">
        <v>2087</v>
      </c>
      <c r="K493" s="11" t="s">
        <v>18</v>
      </c>
      <c r="L493" s="11" t="s">
        <v>33</v>
      </c>
      <c r="M493" s="11">
        <v>9</v>
      </c>
      <c r="N493" s="12">
        <v>105</v>
      </c>
      <c r="O493" s="16">
        <f t="shared" si="60"/>
        <v>945</v>
      </c>
      <c r="P493" s="13"/>
    </row>
    <row r="494" spans="4:16">
      <c r="D494" s="4" t="s">
        <v>37</v>
      </c>
      <c r="E494" s="4" t="s">
        <v>3</v>
      </c>
      <c r="F494" s="4" t="s">
        <v>4</v>
      </c>
      <c r="G494" s="4" t="s">
        <v>5</v>
      </c>
      <c r="H494" s="4" t="s">
        <v>6</v>
      </c>
      <c r="I494" s="9" t="s">
        <v>7</v>
      </c>
      <c r="J494" s="9" t="s">
        <v>8</v>
      </c>
      <c r="K494" s="9" t="s">
        <v>9</v>
      </c>
      <c r="L494" s="9" t="s">
        <v>10</v>
      </c>
      <c r="M494" s="9" t="s">
        <v>11</v>
      </c>
      <c r="N494" s="10" t="s">
        <v>12</v>
      </c>
      <c r="O494" s="10" t="s">
        <v>13</v>
      </c>
      <c r="P494" s="13"/>
    </row>
    <row r="495" ht="17.55" customHeight="1" spans="4:16">
      <c r="D495" s="4"/>
      <c r="E495" s="4"/>
      <c r="F495" s="4"/>
      <c r="G495" s="4"/>
      <c r="H495" s="4"/>
      <c r="I495" s="9"/>
      <c r="J495" s="9"/>
      <c r="K495" s="9"/>
      <c r="L495" s="9"/>
      <c r="M495" s="9"/>
      <c r="N495" s="10"/>
      <c r="O495" s="10"/>
      <c r="P495" s="13"/>
    </row>
    <row r="496" ht="34.8" spans="4:16">
      <c r="D496" s="5">
        <v>367</v>
      </c>
      <c r="E496" s="5">
        <v>367</v>
      </c>
      <c r="F496" s="5" t="s">
        <v>1001</v>
      </c>
      <c r="G496" s="5" t="s">
        <v>1002</v>
      </c>
      <c r="H496" s="5" t="s">
        <v>1003</v>
      </c>
      <c r="I496" s="11" t="s">
        <v>25</v>
      </c>
      <c r="J496" s="11">
        <v>2087</v>
      </c>
      <c r="K496" s="11" t="s">
        <v>18</v>
      </c>
      <c r="L496" s="11" t="s">
        <v>33</v>
      </c>
      <c r="M496" s="11">
        <v>4</v>
      </c>
      <c r="N496" s="12">
        <v>70</v>
      </c>
      <c r="O496" s="16">
        <f t="shared" ref="O496:O501" si="61">N496*M496</f>
        <v>280</v>
      </c>
      <c r="P496" s="13"/>
    </row>
    <row r="497" ht="87" spans="4:16">
      <c r="D497" s="5">
        <v>368</v>
      </c>
      <c r="E497" s="5">
        <v>368</v>
      </c>
      <c r="F497" s="5" t="s">
        <v>1004</v>
      </c>
      <c r="G497" s="5" t="s">
        <v>1005</v>
      </c>
      <c r="H497" s="5" t="s">
        <v>1006</v>
      </c>
      <c r="I497" s="11" t="s">
        <v>17</v>
      </c>
      <c r="J497" s="11"/>
      <c r="K497" s="11" t="s">
        <v>18</v>
      </c>
      <c r="L497" s="11" t="s">
        <v>33</v>
      </c>
      <c r="M497" s="11">
        <v>14</v>
      </c>
      <c r="N497" s="12">
        <v>210</v>
      </c>
      <c r="O497" s="16">
        <f t="shared" si="61"/>
        <v>2940</v>
      </c>
      <c r="P497" s="13"/>
    </row>
    <row r="498" spans="4:16">
      <c r="D498" s="5">
        <v>369</v>
      </c>
      <c r="E498" s="5">
        <v>369</v>
      </c>
      <c r="F498" s="5" t="s">
        <v>1007</v>
      </c>
      <c r="G498" s="5" t="s">
        <v>1008</v>
      </c>
      <c r="H498" s="5" t="s">
        <v>1009</v>
      </c>
      <c r="I498" s="11" t="s">
        <v>17</v>
      </c>
      <c r="J498" s="11"/>
      <c r="K498" s="11" t="s">
        <v>18</v>
      </c>
      <c r="L498" s="11" t="s">
        <v>33</v>
      </c>
      <c r="M498" s="11">
        <v>3</v>
      </c>
      <c r="N498" s="12">
        <v>350</v>
      </c>
      <c r="O498" s="16">
        <f t="shared" si="61"/>
        <v>1050</v>
      </c>
      <c r="P498" s="13"/>
    </row>
    <row r="499" ht="34.8" spans="4:16">
      <c r="D499" s="5">
        <v>370</v>
      </c>
      <c r="E499" s="5">
        <v>370</v>
      </c>
      <c r="F499" s="5" t="s">
        <v>1010</v>
      </c>
      <c r="G499" s="5" t="s">
        <v>1011</v>
      </c>
      <c r="H499" s="5" t="s">
        <v>1012</v>
      </c>
      <c r="I499" s="11" t="s">
        <v>17</v>
      </c>
      <c r="J499" s="11"/>
      <c r="K499" s="11" t="s">
        <v>18</v>
      </c>
      <c r="L499" s="11" t="s">
        <v>33</v>
      </c>
      <c r="M499" s="11">
        <v>1</v>
      </c>
      <c r="N499" s="12">
        <v>350</v>
      </c>
      <c r="O499" s="16">
        <f t="shared" si="61"/>
        <v>350</v>
      </c>
      <c r="P499" s="13"/>
    </row>
    <row r="500" ht="34.8" spans="4:16">
      <c r="D500" s="5">
        <v>371</v>
      </c>
      <c r="E500" s="5">
        <v>371</v>
      </c>
      <c r="F500" s="5" t="s">
        <v>1013</v>
      </c>
      <c r="G500" s="5" t="s">
        <v>1014</v>
      </c>
      <c r="H500" s="5" t="s">
        <v>1015</v>
      </c>
      <c r="I500" s="11" t="s">
        <v>17</v>
      </c>
      <c r="J500" s="11"/>
      <c r="K500" s="11" t="s">
        <v>18</v>
      </c>
      <c r="L500" s="11" t="s">
        <v>33</v>
      </c>
      <c r="M500" s="11">
        <v>6</v>
      </c>
      <c r="N500" s="12">
        <v>350</v>
      </c>
      <c r="O500" s="16">
        <f t="shared" si="61"/>
        <v>2100</v>
      </c>
      <c r="P500" s="13"/>
    </row>
    <row r="501" spans="4:16">
      <c r="D501" s="5">
        <v>372</v>
      </c>
      <c r="E501" s="5">
        <v>372</v>
      </c>
      <c r="F501" s="5" t="s">
        <v>1016</v>
      </c>
      <c r="G501" s="5" t="s">
        <v>1017</v>
      </c>
      <c r="H501" s="5" t="s">
        <v>1018</v>
      </c>
      <c r="I501" s="11" t="s">
        <v>17</v>
      </c>
      <c r="J501" s="11"/>
      <c r="K501" s="11" t="s">
        <v>18</v>
      </c>
      <c r="L501" s="11" t="s">
        <v>33</v>
      </c>
      <c r="M501" s="11">
        <v>2</v>
      </c>
      <c r="N501" s="12">
        <v>350</v>
      </c>
      <c r="O501" s="16">
        <f t="shared" si="61"/>
        <v>700</v>
      </c>
      <c r="P501" s="13"/>
    </row>
    <row r="502" spans="4:16">
      <c r="D502" s="4" t="s">
        <v>37</v>
      </c>
      <c r="E502" s="4" t="s">
        <v>3</v>
      </c>
      <c r="F502" s="4" t="s">
        <v>4</v>
      </c>
      <c r="G502" s="4" t="s">
        <v>5</v>
      </c>
      <c r="H502" s="4" t="s">
        <v>6</v>
      </c>
      <c r="I502" s="9" t="s">
        <v>7</v>
      </c>
      <c r="J502" s="9" t="s">
        <v>8</v>
      </c>
      <c r="K502" s="9" t="s">
        <v>9</v>
      </c>
      <c r="L502" s="9" t="s">
        <v>10</v>
      </c>
      <c r="M502" s="9" t="s">
        <v>11</v>
      </c>
      <c r="N502" s="10" t="s">
        <v>12</v>
      </c>
      <c r="O502" s="10" t="s">
        <v>13</v>
      </c>
      <c r="P502" s="13"/>
    </row>
    <row r="503" spans="4:16">
      <c r="D503" s="4"/>
      <c r="E503" s="4"/>
      <c r="F503" s="4"/>
      <c r="G503" s="4"/>
      <c r="H503" s="4"/>
      <c r="I503" s="9"/>
      <c r="J503" s="9"/>
      <c r="K503" s="9"/>
      <c r="L503" s="9"/>
      <c r="M503" s="9"/>
      <c r="N503" s="10"/>
      <c r="O503" s="10"/>
      <c r="P503" s="13"/>
    </row>
    <row r="504" ht="34.8" spans="4:16">
      <c r="D504" s="5">
        <v>373</v>
      </c>
      <c r="E504" s="5">
        <v>373</v>
      </c>
      <c r="F504" s="5" t="s">
        <v>1019</v>
      </c>
      <c r="G504" s="5" t="s">
        <v>1020</v>
      </c>
      <c r="H504" s="5" t="s">
        <v>1021</v>
      </c>
      <c r="I504" s="11" t="s">
        <v>17</v>
      </c>
      <c r="J504" s="11"/>
      <c r="K504" s="11" t="s">
        <v>18</v>
      </c>
      <c r="L504" s="11" t="s">
        <v>33</v>
      </c>
      <c r="M504" s="11">
        <v>2</v>
      </c>
      <c r="N504" s="12">
        <v>350</v>
      </c>
      <c r="O504" s="16">
        <f t="shared" ref="O504:O509" si="62">N504*M504</f>
        <v>700</v>
      </c>
      <c r="P504" s="13"/>
    </row>
    <row r="505" spans="4:16">
      <c r="D505" s="5">
        <v>374</v>
      </c>
      <c r="E505" s="5">
        <v>374</v>
      </c>
      <c r="F505" s="5" t="s">
        <v>1022</v>
      </c>
      <c r="G505" s="5" t="s">
        <v>1023</v>
      </c>
      <c r="H505" s="5" t="s">
        <v>1024</v>
      </c>
      <c r="I505" s="11" t="s">
        <v>25</v>
      </c>
      <c r="J505" s="11">
        <v>2096</v>
      </c>
      <c r="K505" s="11" t="s">
        <v>18</v>
      </c>
      <c r="L505" s="11" t="s">
        <v>33</v>
      </c>
      <c r="M505" s="11">
        <v>1</v>
      </c>
      <c r="N505" s="12">
        <v>16800</v>
      </c>
      <c r="O505" s="16">
        <f t="shared" si="62"/>
        <v>16800</v>
      </c>
      <c r="P505" s="13"/>
    </row>
    <row r="506" ht="34.8" spans="4:16">
      <c r="D506" s="5">
        <v>375</v>
      </c>
      <c r="E506" s="5">
        <v>375</v>
      </c>
      <c r="F506" s="5" t="s">
        <v>1025</v>
      </c>
      <c r="G506" s="5" t="s">
        <v>1026</v>
      </c>
      <c r="H506" s="5" t="s">
        <v>1027</v>
      </c>
      <c r="I506" s="11" t="s">
        <v>25</v>
      </c>
      <c r="J506" s="11">
        <v>2088</v>
      </c>
      <c r="K506" s="11" t="s">
        <v>18</v>
      </c>
      <c r="L506" s="11" t="s">
        <v>33</v>
      </c>
      <c r="M506" s="11">
        <v>4</v>
      </c>
      <c r="N506" s="12">
        <v>140</v>
      </c>
      <c r="O506" s="16">
        <f t="shared" si="62"/>
        <v>560</v>
      </c>
      <c r="P506" s="13"/>
    </row>
    <row r="507" ht="34.8" spans="4:16">
      <c r="D507" s="5">
        <v>376</v>
      </c>
      <c r="E507" s="5">
        <v>376</v>
      </c>
      <c r="F507" s="5" t="s">
        <v>1028</v>
      </c>
      <c r="G507" s="5" t="s">
        <v>1029</v>
      </c>
      <c r="H507" s="5" t="s">
        <v>1030</v>
      </c>
      <c r="I507" s="11" t="s">
        <v>25</v>
      </c>
      <c r="J507" s="11">
        <v>2095</v>
      </c>
      <c r="K507" s="11" t="s">
        <v>18</v>
      </c>
      <c r="L507" s="11" t="s">
        <v>33</v>
      </c>
      <c r="M507" s="11">
        <v>1</v>
      </c>
      <c r="N507" s="12">
        <v>140</v>
      </c>
      <c r="O507" s="16">
        <f t="shared" si="62"/>
        <v>140</v>
      </c>
      <c r="P507" s="13"/>
    </row>
    <row r="508" ht="34.8" spans="4:16">
      <c r="D508" s="5">
        <v>377</v>
      </c>
      <c r="E508" s="5">
        <v>377</v>
      </c>
      <c r="F508" s="5" t="s">
        <v>1031</v>
      </c>
      <c r="G508" s="5" t="s">
        <v>1032</v>
      </c>
      <c r="H508" s="5" t="s">
        <v>1033</v>
      </c>
      <c r="I508" s="11" t="s">
        <v>25</v>
      </c>
      <c r="J508" s="11">
        <v>2095</v>
      </c>
      <c r="K508" s="11" t="s">
        <v>18</v>
      </c>
      <c r="L508" s="11" t="s">
        <v>33</v>
      </c>
      <c r="M508" s="11">
        <v>1</v>
      </c>
      <c r="N508" s="12">
        <v>140</v>
      </c>
      <c r="O508" s="16">
        <f t="shared" si="62"/>
        <v>140</v>
      </c>
      <c r="P508" s="13"/>
    </row>
    <row r="509" ht="34.8" spans="4:16">
      <c r="D509" s="5">
        <v>378</v>
      </c>
      <c r="E509" s="5">
        <v>378</v>
      </c>
      <c r="F509" s="5" t="s">
        <v>1034</v>
      </c>
      <c r="G509" s="5" t="s">
        <v>1035</v>
      </c>
      <c r="H509" s="5" t="s">
        <v>1036</v>
      </c>
      <c r="I509" s="11" t="s">
        <v>25</v>
      </c>
      <c r="J509" s="11">
        <v>2095</v>
      </c>
      <c r="K509" s="11" t="s">
        <v>18</v>
      </c>
      <c r="L509" s="11" t="s">
        <v>33</v>
      </c>
      <c r="M509" s="11">
        <v>1</v>
      </c>
      <c r="N509" s="12">
        <v>140</v>
      </c>
      <c r="O509" s="16">
        <f t="shared" si="62"/>
        <v>140</v>
      </c>
      <c r="P509" s="13"/>
    </row>
    <row r="510" spans="4:16">
      <c r="D510" s="4" t="s">
        <v>37</v>
      </c>
      <c r="E510" s="4" t="s">
        <v>3</v>
      </c>
      <c r="F510" s="4" t="s">
        <v>4</v>
      </c>
      <c r="G510" s="4" t="s">
        <v>5</v>
      </c>
      <c r="H510" s="4" t="s">
        <v>6</v>
      </c>
      <c r="I510" s="9" t="s">
        <v>7</v>
      </c>
      <c r="J510" s="9" t="s">
        <v>8</v>
      </c>
      <c r="K510" s="9" t="s">
        <v>9</v>
      </c>
      <c r="L510" s="9" t="s">
        <v>10</v>
      </c>
      <c r="M510" s="9" t="s">
        <v>11</v>
      </c>
      <c r="N510" s="10" t="s">
        <v>12</v>
      </c>
      <c r="O510" s="10" t="s">
        <v>13</v>
      </c>
      <c r="P510" s="13"/>
    </row>
    <row r="511" spans="4:16">
      <c r="D511" s="4"/>
      <c r="E511" s="4"/>
      <c r="F511" s="4"/>
      <c r="G511" s="4"/>
      <c r="H511" s="4"/>
      <c r="I511" s="9"/>
      <c r="J511" s="9"/>
      <c r="K511" s="9"/>
      <c r="L511" s="9"/>
      <c r="M511" s="9"/>
      <c r="N511" s="10"/>
      <c r="O511" s="10"/>
      <c r="P511" s="13"/>
    </row>
    <row r="512" ht="34.8" spans="4:16">
      <c r="D512" s="5">
        <v>379</v>
      </c>
      <c r="E512" s="5">
        <v>379</v>
      </c>
      <c r="F512" s="5" t="s">
        <v>1037</v>
      </c>
      <c r="G512" s="5" t="s">
        <v>1038</v>
      </c>
      <c r="H512" s="5" t="s">
        <v>1039</v>
      </c>
      <c r="I512" s="11" t="s">
        <v>25</v>
      </c>
      <c r="J512" s="11">
        <v>2095</v>
      </c>
      <c r="K512" s="11" t="s">
        <v>18</v>
      </c>
      <c r="L512" s="11" t="s">
        <v>33</v>
      </c>
      <c r="M512" s="11">
        <v>1</v>
      </c>
      <c r="N512" s="12">
        <v>140</v>
      </c>
      <c r="O512" s="16">
        <f t="shared" ref="O512:O517" si="63">N512*M512</f>
        <v>140</v>
      </c>
      <c r="P512" s="13"/>
    </row>
    <row r="513" spans="4:16">
      <c r="D513" s="5">
        <v>380</v>
      </c>
      <c r="E513" s="5">
        <v>380</v>
      </c>
      <c r="F513" s="5" t="s">
        <v>1040</v>
      </c>
      <c r="G513" s="5" t="s">
        <v>1041</v>
      </c>
      <c r="H513" s="5" t="s">
        <v>994</v>
      </c>
      <c r="I513" s="11" t="s">
        <v>25</v>
      </c>
      <c r="J513" s="11">
        <v>2091</v>
      </c>
      <c r="K513" s="11" t="s">
        <v>18</v>
      </c>
      <c r="L513" s="11" t="s">
        <v>33</v>
      </c>
      <c r="M513" s="11">
        <v>4</v>
      </c>
      <c r="N513" s="12">
        <v>70</v>
      </c>
      <c r="O513" s="16">
        <f t="shared" si="63"/>
        <v>280</v>
      </c>
      <c r="P513" s="13"/>
    </row>
    <row r="514" spans="4:16">
      <c r="D514" s="5">
        <v>381</v>
      </c>
      <c r="E514" s="5">
        <v>381</v>
      </c>
      <c r="F514" s="5" t="s">
        <v>1042</v>
      </c>
      <c r="G514" s="5" t="s">
        <v>1043</v>
      </c>
      <c r="H514" s="5" t="s">
        <v>1044</v>
      </c>
      <c r="I514" s="11" t="s">
        <v>25</v>
      </c>
      <c r="J514" s="11">
        <v>2087</v>
      </c>
      <c r="K514" s="11" t="s">
        <v>18</v>
      </c>
      <c r="L514" s="11" t="s">
        <v>33</v>
      </c>
      <c r="M514" s="11">
        <v>2</v>
      </c>
      <c r="N514" s="12">
        <v>105</v>
      </c>
      <c r="O514" s="16">
        <f t="shared" si="63"/>
        <v>210</v>
      </c>
      <c r="P514" s="13"/>
    </row>
    <row r="515" spans="4:16">
      <c r="D515" s="5">
        <v>382</v>
      </c>
      <c r="E515" s="5">
        <v>382</v>
      </c>
      <c r="F515" s="5" t="s">
        <v>1045</v>
      </c>
      <c r="G515" s="5" t="s">
        <v>1046</v>
      </c>
      <c r="H515" s="5" t="s">
        <v>1047</v>
      </c>
      <c r="I515" s="11" t="s">
        <v>25</v>
      </c>
      <c r="J515" s="11">
        <v>2087</v>
      </c>
      <c r="K515" s="11" t="s">
        <v>18</v>
      </c>
      <c r="L515" s="11" t="s">
        <v>33</v>
      </c>
      <c r="M515" s="11">
        <v>1</v>
      </c>
      <c r="N515" s="12">
        <v>70</v>
      </c>
      <c r="O515" s="16">
        <f t="shared" si="63"/>
        <v>70</v>
      </c>
      <c r="P515" s="13"/>
    </row>
    <row r="516" ht="87" spans="4:16">
      <c r="D516" s="5">
        <v>383</v>
      </c>
      <c r="E516" s="5">
        <v>383</v>
      </c>
      <c r="F516" s="5" t="s">
        <v>1048</v>
      </c>
      <c r="G516" s="5" t="s">
        <v>1049</v>
      </c>
      <c r="H516" s="5" t="s">
        <v>1006</v>
      </c>
      <c r="I516" s="11" t="s">
        <v>17</v>
      </c>
      <c r="J516" s="11"/>
      <c r="K516" s="11" t="s">
        <v>18</v>
      </c>
      <c r="L516" s="11" t="s">
        <v>33</v>
      </c>
      <c r="M516" s="11">
        <v>3</v>
      </c>
      <c r="N516" s="12">
        <v>210</v>
      </c>
      <c r="O516" s="16">
        <f t="shared" si="63"/>
        <v>630</v>
      </c>
      <c r="P516" s="13"/>
    </row>
    <row r="517" spans="4:16">
      <c r="D517" s="5">
        <v>384</v>
      </c>
      <c r="E517" s="5">
        <v>384</v>
      </c>
      <c r="F517" s="5" t="s">
        <v>1050</v>
      </c>
      <c r="G517" s="5" t="s">
        <v>1051</v>
      </c>
      <c r="H517" s="5" t="s">
        <v>1052</v>
      </c>
      <c r="I517" s="11" t="s">
        <v>17</v>
      </c>
      <c r="J517" s="11"/>
      <c r="K517" s="11" t="s">
        <v>18</v>
      </c>
      <c r="L517" s="11" t="s">
        <v>33</v>
      </c>
      <c r="M517" s="11">
        <v>1</v>
      </c>
      <c r="N517" s="12">
        <v>350</v>
      </c>
      <c r="O517" s="16">
        <f t="shared" si="63"/>
        <v>350</v>
      </c>
      <c r="P517" s="13"/>
    </row>
    <row r="518" spans="4:16">
      <c r="D518" s="4" t="s">
        <v>2</v>
      </c>
      <c r="E518" s="4" t="s">
        <v>3</v>
      </c>
      <c r="F518" s="4" t="s">
        <v>4</v>
      </c>
      <c r="G518" s="4" t="s">
        <v>5</v>
      </c>
      <c r="H518" s="4" t="s">
        <v>6</v>
      </c>
      <c r="I518" s="9" t="s">
        <v>7</v>
      </c>
      <c r="J518" s="9" t="s">
        <v>8</v>
      </c>
      <c r="K518" s="9" t="s">
        <v>9</v>
      </c>
      <c r="L518" s="9" t="s">
        <v>10</v>
      </c>
      <c r="M518" s="9" t="s">
        <v>11</v>
      </c>
      <c r="N518" s="10" t="s">
        <v>12</v>
      </c>
      <c r="O518" s="10" t="s">
        <v>13</v>
      </c>
      <c r="P518" s="13"/>
    </row>
    <row r="519" spans="4:16">
      <c r="D519" s="4"/>
      <c r="E519" s="4"/>
      <c r="F519" s="4"/>
      <c r="G519" s="4"/>
      <c r="H519" s="4"/>
      <c r="I519" s="9"/>
      <c r="J519" s="9"/>
      <c r="K519" s="9"/>
      <c r="L519" s="9"/>
      <c r="M519" s="9"/>
      <c r="N519" s="10"/>
      <c r="O519" s="10"/>
      <c r="P519" s="13"/>
    </row>
    <row r="520" spans="4:16">
      <c r="D520" s="5">
        <v>385</v>
      </c>
      <c r="E520" s="5">
        <v>385</v>
      </c>
      <c r="F520" s="5" t="s">
        <v>1053</v>
      </c>
      <c r="G520" s="5" t="s">
        <v>1054</v>
      </c>
      <c r="H520" s="5" t="s">
        <v>1018</v>
      </c>
      <c r="I520" s="11" t="s">
        <v>17</v>
      </c>
      <c r="J520" s="11"/>
      <c r="K520" s="11" t="s">
        <v>18</v>
      </c>
      <c r="L520" s="11" t="s">
        <v>33</v>
      </c>
      <c r="M520" s="11">
        <v>1</v>
      </c>
      <c r="N520" s="12">
        <v>350</v>
      </c>
      <c r="O520" s="16">
        <f t="shared" ref="O520:O525" si="64">N520*M520</f>
        <v>350</v>
      </c>
      <c r="P520" s="13"/>
    </row>
    <row r="521" spans="4:16">
      <c r="D521" s="5">
        <v>386</v>
      </c>
      <c r="E521" s="5">
        <v>386</v>
      </c>
      <c r="F521" s="5" t="s">
        <v>1055</v>
      </c>
      <c r="G521" s="5" t="s">
        <v>1056</v>
      </c>
      <c r="H521" s="5" t="s">
        <v>1009</v>
      </c>
      <c r="I521" s="11" t="s">
        <v>17</v>
      </c>
      <c r="J521" s="11"/>
      <c r="K521" s="11" t="s">
        <v>18</v>
      </c>
      <c r="L521" s="11" t="s">
        <v>33</v>
      </c>
      <c r="M521" s="11">
        <v>1</v>
      </c>
      <c r="N521" s="12">
        <v>350</v>
      </c>
      <c r="O521" s="16">
        <f t="shared" si="64"/>
        <v>350</v>
      </c>
      <c r="P521" s="13"/>
    </row>
    <row r="522" spans="4:16">
      <c r="D522" s="5">
        <v>387</v>
      </c>
      <c r="E522" s="5">
        <v>387</v>
      </c>
      <c r="F522" s="5" t="s">
        <v>1057</v>
      </c>
      <c r="G522" s="5" t="s">
        <v>1058</v>
      </c>
      <c r="H522" s="5" t="s">
        <v>1059</v>
      </c>
      <c r="I522" s="11" t="s">
        <v>17</v>
      </c>
      <c r="J522" s="11"/>
      <c r="K522" s="11" t="s">
        <v>18</v>
      </c>
      <c r="L522" s="11" t="s">
        <v>33</v>
      </c>
      <c r="M522" s="11">
        <v>1</v>
      </c>
      <c r="N522" s="12">
        <v>700</v>
      </c>
      <c r="O522" s="16">
        <f t="shared" si="64"/>
        <v>700</v>
      </c>
      <c r="P522" s="13"/>
    </row>
    <row r="523" spans="4:16">
      <c r="D523" s="5">
        <v>388</v>
      </c>
      <c r="E523" s="5">
        <v>388</v>
      </c>
      <c r="F523" s="5" t="s">
        <v>1060</v>
      </c>
      <c r="G523" s="5" t="s">
        <v>1061</v>
      </c>
      <c r="H523" s="5" t="s">
        <v>1062</v>
      </c>
      <c r="I523" s="11" t="s">
        <v>25</v>
      </c>
      <c r="J523" s="11">
        <v>2096</v>
      </c>
      <c r="K523" s="11" t="s">
        <v>18</v>
      </c>
      <c r="L523" s="11" t="s">
        <v>33</v>
      </c>
      <c r="M523" s="11">
        <v>1</v>
      </c>
      <c r="N523" s="12">
        <v>16800</v>
      </c>
      <c r="O523" s="16">
        <f t="shared" si="64"/>
        <v>16800</v>
      </c>
      <c r="P523" s="13"/>
    </row>
    <row r="524" spans="4:16">
      <c r="D524" s="5">
        <v>389</v>
      </c>
      <c r="E524" s="5">
        <v>389</v>
      </c>
      <c r="F524" s="5" t="s">
        <v>1063</v>
      </c>
      <c r="G524" s="5" t="s">
        <v>1064</v>
      </c>
      <c r="H524" s="5" t="s">
        <v>1065</v>
      </c>
      <c r="I524" s="11" t="s">
        <v>25</v>
      </c>
      <c r="J524" s="11">
        <v>2083</v>
      </c>
      <c r="K524" s="11" t="s">
        <v>18</v>
      </c>
      <c r="L524" s="11" t="s">
        <v>26</v>
      </c>
      <c r="M524" s="11">
        <v>30</v>
      </c>
      <c r="N524" s="12">
        <v>70</v>
      </c>
      <c r="O524" s="16">
        <f t="shared" si="64"/>
        <v>2100</v>
      </c>
      <c r="P524" s="13"/>
    </row>
    <row r="525" spans="4:16">
      <c r="D525" s="5">
        <v>390</v>
      </c>
      <c r="E525" s="5">
        <v>390</v>
      </c>
      <c r="F525" s="5" t="s">
        <v>1066</v>
      </c>
      <c r="G525" s="5" t="s">
        <v>1067</v>
      </c>
      <c r="H525" s="5" t="s">
        <v>1068</v>
      </c>
      <c r="I525" s="11" t="s">
        <v>25</v>
      </c>
      <c r="J525" s="11">
        <v>2083</v>
      </c>
      <c r="K525" s="11" t="s">
        <v>18</v>
      </c>
      <c r="L525" s="11" t="s">
        <v>26</v>
      </c>
      <c r="M525" s="11">
        <v>5</v>
      </c>
      <c r="N525" s="12">
        <v>70</v>
      </c>
      <c r="O525" s="16">
        <f t="shared" si="64"/>
        <v>350</v>
      </c>
      <c r="P525" s="13"/>
    </row>
    <row r="526" spans="4:16">
      <c r="D526" s="4" t="s">
        <v>37</v>
      </c>
      <c r="E526" s="4" t="s">
        <v>3</v>
      </c>
      <c r="F526" s="4" t="s">
        <v>4</v>
      </c>
      <c r="G526" s="4" t="s">
        <v>5</v>
      </c>
      <c r="H526" s="4" t="s">
        <v>6</v>
      </c>
      <c r="I526" s="9" t="s">
        <v>7</v>
      </c>
      <c r="J526" s="9" t="s">
        <v>8</v>
      </c>
      <c r="K526" s="9" t="s">
        <v>9</v>
      </c>
      <c r="L526" s="9" t="s">
        <v>10</v>
      </c>
      <c r="M526" s="9" t="s">
        <v>11</v>
      </c>
      <c r="N526" s="10" t="s">
        <v>12</v>
      </c>
      <c r="O526" s="10" t="s">
        <v>13</v>
      </c>
      <c r="P526" s="13"/>
    </row>
    <row r="527" spans="4:16">
      <c r="D527" s="4"/>
      <c r="E527" s="4"/>
      <c r="F527" s="4"/>
      <c r="G527" s="4"/>
      <c r="H527" s="4"/>
      <c r="I527" s="9"/>
      <c r="J527" s="9"/>
      <c r="K527" s="9"/>
      <c r="L527" s="9"/>
      <c r="M527" s="9"/>
      <c r="N527" s="10"/>
      <c r="O527" s="10"/>
      <c r="P527" s="13"/>
    </row>
    <row r="528" spans="4:16">
      <c r="D528" s="5">
        <v>391</v>
      </c>
      <c r="E528" s="5">
        <v>391</v>
      </c>
      <c r="F528" s="5" t="s">
        <v>1069</v>
      </c>
      <c r="G528" s="5" t="s">
        <v>1070</v>
      </c>
      <c r="H528" s="5" t="s">
        <v>1071</v>
      </c>
      <c r="I528" s="11" t="s">
        <v>25</v>
      </c>
      <c r="J528" s="11">
        <v>2083</v>
      </c>
      <c r="K528" s="11" t="s">
        <v>18</v>
      </c>
      <c r="L528" s="11" t="s">
        <v>26</v>
      </c>
      <c r="M528" s="11">
        <v>5</v>
      </c>
      <c r="N528" s="12">
        <v>336</v>
      </c>
      <c r="O528" s="16">
        <f t="shared" ref="O528:O533" si="65">N528*M528</f>
        <v>1680</v>
      </c>
      <c r="P528" s="13"/>
    </row>
    <row r="529" ht="34.8" spans="4:16">
      <c r="D529" s="5">
        <v>392</v>
      </c>
      <c r="E529" s="5">
        <v>392</v>
      </c>
      <c r="F529" s="5" t="s">
        <v>1072</v>
      </c>
      <c r="G529" s="5" t="s">
        <v>1073</v>
      </c>
      <c r="H529" s="5" t="s">
        <v>1074</v>
      </c>
      <c r="I529" s="11" t="s">
        <v>25</v>
      </c>
      <c r="J529" s="11">
        <v>2088</v>
      </c>
      <c r="K529" s="11" t="s">
        <v>18</v>
      </c>
      <c r="L529" s="11" t="s">
        <v>33</v>
      </c>
      <c r="M529" s="11">
        <v>4</v>
      </c>
      <c r="N529" s="12">
        <v>140</v>
      </c>
      <c r="O529" s="16">
        <f t="shared" si="65"/>
        <v>560</v>
      </c>
      <c r="P529" s="13"/>
    </row>
    <row r="530" ht="34.8" spans="4:16">
      <c r="D530" s="5">
        <v>393</v>
      </c>
      <c r="E530" s="5">
        <v>393</v>
      </c>
      <c r="F530" s="5" t="s">
        <v>1075</v>
      </c>
      <c r="G530" s="5" t="s">
        <v>1076</v>
      </c>
      <c r="H530" s="5" t="s">
        <v>1077</v>
      </c>
      <c r="I530" s="11" t="s">
        <v>25</v>
      </c>
      <c r="J530" s="11">
        <v>2085</v>
      </c>
      <c r="K530" s="11" t="s">
        <v>18</v>
      </c>
      <c r="L530" s="11" t="s">
        <v>33</v>
      </c>
      <c r="M530" s="11">
        <v>3</v>
      </c>
      <c r="N530" s="12">
        <v>140</v>
      </c>
      <c r="O530" s="16">
        <f t="shared" si="65"/>
        <v>420</v>
      </c>
      <c r="P530" s="13"/>
    </row>
    <row r="531" ht="34.8" spans="4:16">
      <c r="D531" s="5">
        <v>394</v>
      </c>
      <c r="E531" s="5">
        <v>394</v>
      </c>
      <c r="F531" s="5" t="s">
        <v>1078</v>
      </c>
      <c r="G531" s="5" t="s">
        <v>1079</v>
      </c>
      <c r="H531" s="5" t="s">
        <v>1080</v>
      </c>
      <c r="I531" s="11" t="s">
        <v>25</v>
      </c>
      <c r="J531" s="11">
        <v>2085</v>
      </c>
      <c r="K531" s="11" t="s">
        <v>18</v>
      </c>
      <c r="L531" s="11" t="s">
        <v>33</v>
      </c>
      <c r="M531" s="11">
        <v>1</v>
      </c>
      <c r="N531" s="12">
        <v>140</v>
      </c>
      <c r="O531" s="16">
        <f t="shared" si="65"/>
        <v>140</v>
      </c>
      <c r="P531" s="13"/>
    </row>
    <row r="532" ht="34.8" spans="4:16">
      <c r="D532" s="5">
        <v>395</v>
      </c>
      <c r="E532" s="5">
        <v>395</v>
      </c>
      <c r="F532" s="5" t="s">
        <v>1081</v>
      </c>
      <c r="G532" s="5" t="s">
        <v>1082</v>
      </c>
      <c r="H532" s="5" t="s">
        <v>1083</v>
      </c>
      <c r="I532" s="11" t="s">
        <v>25</v>
      </c>
      <c r="J532" s="11">
        <v>2085</v>
      </c>
      <c r="K532" s="11" t="s">
        <v>18</v>
      </c>
      <c r="L532" s="11" t="s">
        <v>33</v>
      </c>
      <c r="M532" s="11">
        <v>1</v>
      </c>
      <c r="N532" s="12">
        <v>140</v>
      </c>
      <c r="O532" s="16">
        <f t="shared" si="65"/>
        <v>140</v>
      </c>
      <c r="P532" s="13"/>
    </row>
    <row r="533" ht="34.8" spans="4:16">
      <c r="D533" s="5">
        <v>396</v>
      </c>
      <c r="E533" s="5">
        <v>396</v>
      </c>
      <c r="F533" s="5" t="s">
        <v>1084</v>
      </c>
      <c r="G533" s="5" t="s">
        <v>1085</v>
      </c>
      <c r="H533" s="5" t="s">
        <v>1086</v>
      </c>
      <c r="I533" s="11" t="s">
        <v>25</v>
      </c>
      <c r="J533" s="11">
        <v>2085</v>
      </c>
      <c r="K533" s="11" t="s">
        <v>18</v>
      </c>
      <c r="L533" s="11" t="s">
        <v>33</v>
      </c>
      <c r="M533" s="11">
        <v>1</v>
      </c>
      <c r="N533" s="12">
        <v>140</v>
      </c>
      <c r="O533" s="16">
        <f t="shared" si="65"/>
        <v>140</v>
      </c>
      <c r="P533" s="13"/>
    </row>
    <row r="534" spans="4:16">
      <c r="D534" s="4" t="s">
        <v>37</v>
      </c>
      <c r="E534" s="4" t="s">
        <v>3</v>
      </c>
      <c r="F534" s="4" t="s">
        <v>4</v>
      </c>
      <c r="G534" s="4" t="s">
        <v>5</v>
      </c>
      <c r="H534" s="4" t="s">
        <v>6</v>
      </c>
      <c r="I534" s="9" t="s">
        <v>7</v>
      </c>
      <c r="J534" s="9" t="s">
        <v>8</v>
      </c>
      <c r="K534" s="9" t="s">
        <v>9</v>
      </c>
      <c r="L534" s="9" t="s">
        <v>10</v>
      </c>
      <c r="M534" s="9" t="s">
        <v>11</v>
      </c>
      <c r="N534" s="10" t="s">
        <v>12</v>
      </c>
      <c r="O534" s="10" t="s">
        <v>13</v>
      </c>
      <c r="P534" s="13"/>
    </row>
    <row r="535" spans="4:16">
      <c r="D535" s="4"/>
      <c r="E535" s="4"/>
      <c r="F535" s="4"/>
      <c r="G535" s="4"/>
      <c r="H535" s="4"/>
      <c r="I535" s="9"/>
      <c r="J535" s="9"/>
      <c r="K535" s="9"/>
      <c r="L535" s="9"/>
      <c r="M535" s="9"/>
      <c r="N535" s="10"/>
      <c r="O535" s="10"/>
      <c r="P535" s="13"/>
    </row>
    <row r="536" spans="4:16">
      <c r="D536" s="5">
        <v>397</v>
      </c>
      <c r="E536" s="5">
        <v>397</v>
      </c>
      <c r="F536" s="5" t="s">
        <v>1087</v>
      </c>
      <c r="G536" s="5" t="s">
        <v>1088</v>
      </c>
      <c r="H536" s="5" t="s">
        <v>994</v>
      </c>
      <c r="I536" s="11" t="s">
        <v>17</v>
      </c>
      <c r="J536" s="11"/>
      <c r="K536" s="11" t="s">
        <v>18</v>
      </c>
      <c r="L536" s="11" t="s">
        <v>33</v>
      </c>
      <c r="M536" s="11">
        <v>5</v>
      </c>
      <c r="N536" s="12">
        <v>70</v>
      </c>
      <c r="O536" s="16">
        <f t="shared" ref="O536:O541" si="66">N536*M536</f>
        <v>350</v>
      </c>
      <c r="P536" s="13"/>
    </row>
    <row r="537" spans="4:16">
      <c r="D537" s="5">
        <v>398</v>
      </c>
      <c r="E537" s="5">
        <v>398</v>
      </c>
      <c r="F537" s="5" t="s">
        <v>1089</v>
      </c>
      <c r="G537" s="5" t="s">
        <v>1090</v>
      </c>
      <c r="H537" s="5" t="s">
        <v>1091</v>
      </c>
      <c r="I537" s="11" t="s">
        <v>25</v>
      </c>
      <c r="J537" s="11">
        <v>2087</v>
      </c>
      <c r="K537" s="11" t="s">
        <v>18</v>
      </c>
      <c r="L537" s="11" t="s">
        <v>33</v>
      </c>
      <c r="M537" s="11">
        <v>4</v>
      </c>
      <c r="N537" s="12">
        <v>105</v>
      </c>
      <c r="O537" s="16">
        <f t="shared" si="66"/>
        <v>420</v>
      </c>
      <c r="P537" s="13"/>
    </row>
    <row r="538" ht="69.6" spans="4:16">
      <c r="D538" s="5">
        <v>399</v>
      </c>
      <c r="E538" s="5">
        <v>399</v>
      </c>
      <c r="F538" s="5" t="s">
        <v>1092</v>
      </c>
      <c r="G538" s="5" t="s">
        <v>1093</v>
      </c>
      <c r="H538" s="5" t="s">
        <v>1094</v>
      </c>
      <c r="I538" s="11" t="s">
        <v>25</v>
      </c>
      <c r="J538" s="11">
        <v>2088</v>
      </c>
      <c r="K538" s="11" t="s">
        <v>18</v>
      </c>
      <c r="L538" s="11" t="s">
        <v>33</v>
      </c>
      <c r="M538" s="11">
        <v>2</v>
      </c>
      <c r="N538" s="12">
        <v>17500</v>
      </c>
      <c r="O538" s="16">
        <f t="shared" si="66"/>
        <v>35000</v>
      </c>
      <c r="P538" s="13"/>
    </row>
    <row r="539" ht="69.6" spans="4:16">
      <c r="D539" s="5">
        <v>400</v>
      </c>
      <c r="E539" s="5">
        <v>400</v>
      </c>
      <c r="F539" s="5" t="s">
        <v>1095</v>
      </c>
      <c r="G539" s="5" t="s">
        <v>1096</v>
      </c>
      <c r="H539" s="5" t="s">
        <v>1097</v>
      </c>
      <c r="I539" s="11" t="s">
        <v>25</v>
      </c>
      <c r="J539" s="11">
        <v>2088</v>
      </c>
      <c r="K539" s="11" t="s">
        <v>18</v>
      </c>
      <c r="L539" s="11" t="s">
        <v>33</v>
      </c>
      <c r="M539" s="11">
        <v>2</v>
      </c>
      <c r="N539" s="12">
        <v>17500</v>
      </c>
      <c r="O539" s="16">
        <f t="shared" si="66"/>
        <v>35000</v>
      </c>
      <c r="P539" s="13"/>
    </row>
    <row r="540" spans="4:16">
      <c r="D540" s="5">
        <v>401</v>
      </c>
      <c r="E540" s="5">
        <v>401</v>
      </c>
      <c r="F540" s="5" t="s">
        <v>1098</v>
      </c>
      <c r="G540" s="5" t="s">
        <v>1099</v>
      </c>
      <c r="H540" s="5" t="s">
        <v>1100</v>
      </c>
      <c r="I540" s="11" t="s">
        <v>25</v>
      </c>
      <c r="J540" s="11">
        <v>2096</v>
      </c>
      <c r="K540" s="11" t="s">
        <v>18</v>
      </c>
      <c r="L540" s="11" t="s">
        <v>33</v>
      </c>
      <c r="M540" s="11">
        <v>1</v>
      </c>
      <c r="N540" s="12">
        <v>8400</v>
      </c>
      <c r="O540" s="16">
        <f t="shared" si="66"/>
        <v>8400</v>
      </c>
      <c r="P540" s="13"/>
    </row>
    <row r="541" ht="34.8" spans="4:16">
      <c r="D541" s="5">
        <v>402</v>
      </c>
      <c r="E541" s="5">
        <v>402</v>
      </c>
      <c r="F541" s="5" t="s">
        <v>1101</v>
      </c>
      <c r="G541" s="5" t="s">
        <v>1102</v>
      </c>
      <c r="H541" s="5" t="s">
        <v>1103</v>
      </c>
      <c r="I541" s="11" t="s">
        <v>25</v>
      </c>
      <c r="J541" s="11">
        <v>2083</v>
      </c>
      <c r="K541" s="11" t="s">
        <v>18</v>
      </c>
      <c r="L541" s="11" t="s">
        <v>26</v>
      </c>
      <c r="M541" s="11">
        <v>200</v>
      </c>
      <c r="N541" s="12">
        <v>266</v>
      </c>
      <c r="O541" s="16">
        <f t="shared" si="66"/>
        <v>53200</v>
      </c>
      <c r="P541" s="13"/>
    </row>
    <row r="542" spans="4:16">
      <c r="D542" s="4" t="s">
        <v>37</v>
      </c>
      <c r="E542" s="4" t="s">
        <v>3</v>
      </c>
      <c r="F542" s="4" t="s">
        <v>4</v>
      </c>
      <c r="G542" s="4" t="s">
        <v>5</v>
      </c>
      <c r="H542" s="4" t="s">
        <v>6</v>
      </c>
      <c r="I542" s="9" t="s">
        <v>7</v>
      </c>
      <c r="J542" s="9" t="s">
        <v>8</v>
      </c>
      <c r="K542" s="9" t="s">
        <v>9</v>
      </c>
      <c r="L542" s="9" t="s">
        <v>10</v>
      </c>
      <c r="M542" s="9" t="s">
        <v>11</v>
      </c>
      <c r="N542" s="10" t="s">
        <v>12</v>
      </c>
      <c r="O542" s="10" t="s">
        <v>13</v>
      </c>
      <c r="P542" s="13"/>
    </row>
    <row r="543" spans="4:16">
      <c r="D543" s="4"/>
      <c r="E543" s="4"/>
      <c r="F543" s="4"/>
      <c r="G543" s="4"/>
      <c r="H543" s="4"/>
      <c r="I543" s="9"/>
      <c r="J543" s="9"/>
      <c r="K543" s="9"/>
      <c r="L543" s="9"/>
      <c r="M543" s="9"/>
      <c r="N543" s="10"/>
      <c r="O543" s="10"/>
      <c r="P543" s="13"/>
    </row>
    <row r="544" ht="34.8" spans="4:16">
      <c r="D544" s="5">
        <v>403</v>
      </c>
      <c r="E544" s="5">
        <v>403</v>
      </c>
      <c r="F544" s="5" t="s">
        <v>1104</v>
      </c>
      <c r="G544" s="5" t="s">
        <v>1105</v>
      </c>
      <c r="H544" s="5" t="s">
        <v>1106</v>
      </c>
      <c r="I544" s="11" t="s">
        <v>25</v>
      </c>
      <c r="J544" s="11">
        <v>2088</v>
      </c>
      <c r="K544" s="11" t="s">
        <v>18</v>
      </c>
      <c r="L544" s="11" t="s">
        <v>33</v>
      </c>
      <c r="M544" s="11">
        <v>21</v>
      </c>
      <c r="N544" s="12">
        <v>140</v>
      </c>
      <c r="O544" s="16">
        <f t="shared" ref="O544:O549" si="67">N544*M544</f>
        <v>2940</v>
      </c>
      <c r="P544" s="13"/>
    </row>
    <row r="545" spans="4:16">
      <c r="D545" s="5">
        <v>404</v>
      </c>
      <c r="E545" s="5">
        <v>404</v>
      </c>
      <c r="F545" s="5" t="s">
        <v>1107</v>
      </c>
      <c r="G545" s="5" t="s">
        <v>1108</v>
      </c>
      <c r="H545" s="5" t="s">
        <v>1109</v>
      </c>
      <c r="I545" s="11" t="s">
        <v>25</v>
      </c>
      <c r="J545" s="11">
        <v>2088</v>
      </c>
      <c r="K545" s="11" t="s">
        <v>18</v>
      </c>
      <c r="L545" s="11" t="s">
        <v>33</v>
      </c>
      <c r="M545" s="11">
        <v>12</v>
      </c>
      <c r="N545" s="12">
        <v>140</v>
      </c>
      <c r="O545" s="16">
        <f t="shared" si="67"/>
        <v>1680</v>
      </c>
      <c r="P545" s="13"/>
    </row>
    <row r="546" spans="4:16">
      <c r="D546" s="5">
        <v>405</v>
      </c>
      <c r="E546" s="5">
        <v>405</v>
      </c>
      <c r="F546" s="5" t="s">
        <v>1110</v>
      </c>
      <c r="G546" s="5" t="s">
        <v>1111</v>
      </c>
      <c r="H546" s="5" t="s">
        <v>1112</v>
      </c>
      <c r="I546" s="11" t="s">
        <v>25</v>
      </c>
      <c r="J546" s="11">
        <v>2088</v>
      </c>
      <c r="K546" s="11" t="s">
        <v>18</v>
      </c>
      <c r="L546" s="11" t="s">
        <v>33</v>
      </c>
      <c r="M546" s="11">
        <v>1</v>
      </c>
      <c r="N546" s="12">
        <v>140</v>
      </c>
      <c r="O546" s="16">
        <f t="shared" si="67"/>
        <v>140</v>
      </c>
      <c r="P546" s="13"/>
    </row>
    <row r="547" ht="34.8" spans="4:16">
      <c r="D547" s="5">
        <v>406</v>
      </c>
      <c r="E547" s="5">
        <v>406</v>
      </c>
      <c r="F547" s="5" t="s">
        <v>1113</v>
      </c>
      <c r="G547" s="5" t="s">
        <v>1114</v>
      </c>
      <c r="H547" s="5" t="s">
        <v>1115</v>
      </c>
      <c r="I547" s="11" t="s">
        <v>25</v>
      </c>
      <c r="J547" s="11">
        <v>2088</v>
      </c>
      <c r="K547" s="11" t="s">
        <v>18</v>
      </c>
      <c r="L547" s="11" t="s">
        <v>33</v>
      </c>
      <c r="M547" s="11">
        <v>4</v>
      </c>
      <c r="N547" s="12">
        <v>140</v>
      </c>
      <c r="O547" s="16">
        <f t="shared" si="67"/>
        <v>560</v>
      </c>
      <c r="P547" s="13"/>
    </row>
    <row r="548" spans="4:16">
      <c r="D548" s="5">
        <v>407</v>
      </c>
      <c r="E548" s="5">
        <v>407</v>
      </c>
      <c r="F548" s="5" t="s">
        <v>1116</v>
      </c>
      <c r="G548" s="5" t="s">
        <v>1117</v>
      </c>
      <c r="H548" s="5" t="s">
        <v>1118</v>
      </c>
      <c r="I548" s="11" t="s">
        <v>17</v>
      </c>
      <c r="J548" s="11"/>
      <c r="K548" s="11" t="s">
        <v>18</v>
      </c>
      <c r="L548" s="11" t="s">
        <v>33</v>
      </c>
      <c r="M548" s="11">
        <v>2</v>
      </c>
      <c r="N548" s="12">
        <v>140</v>
      </c>
      <c r="O548" s="16">
        <f t="shared" si="67"/>
        <v>280</v>
      </c>
      <c r="P548" s="13"/>
    </row>
    <row r="549" spans="4:16">
      <c r="D549" s="5">
        <v>408</v>
      </c>
      <c r="E549" s="5">
        <v>408</v>
      </c>
      <c r="F549" s="5" t="s">
        <v>1119</v>
      </c>
      <c r="G549" s="5" t="s">
        <v>1120</v>
      </c>
      <c r="H549" s="5" t="s">
        <v>1121</v>
      </c>
      <c r="I549" s="11" t="s">
        <v>17</v>
      </c>
      <c r="J549" s="11"/>
      <c r="K549" s="11" t="s">
        <v>18</v>
      </c>
      <c r="L549" s="11" t="s">
        <v>33</v>
      </c>
      <c r="M549" s="11">
        <v>4</v>
      </c>
      <c r="N549" s="12">
        <v>140</v>
      </c>
      <c r="O549" s="16">
        <f t="shared" si="67"/>
        <v>560</v>
      </c>
      <c r="P549" s="13"/>
    </row>
    <row r="550" spans="4:16">
      <c r="D550" s="4" t="s">
        <v>2</v>
      </c>
      <c r="E550" s="4" t="s">
        <v>3</v>
      </c>
      <c r="F550" s="4" t="s">
        <v>4</v>
      </c>
      <c r="G550" s="4" t="s">
        <v>5</v>
      </c>
      <c r="H550" s="4" t="s">
        <v>6</v>
      </c>
      <c r="I550" s="9" t="s">
        <v>7</v>
      </c>
      <c r="J550" s="9" t="s">
        <v>8</v>
      </c>
      <c r="K550" s="9" t="s">
        <v>9</v>
      </c>
      <c r="L550" s="9" t="s">
        <v>10</v>
      </c>
      <c r="M550" s="9" t="s">
        <v>11</v>
      </c>
      <c r="N550" s="10" t="s">
        <v>12</v>
      </c>
      <c r="O550" s="10" t="s">
        <v>13</v>
      </c>
      <c r="P550" s="13"/>
    </row>
    <row r="551" spans="4:16">
      <c r="D551" s="4"/>
      <c r="E551" s="4"/>
      <c r="F551" s="4"/>
      <c r="G551" s="4"/>
      <c r="H551" s="4"/>
      <c r="I551" s="9"/>
      <c r="J551" s="9"/>
      <c r="K551" s="9"/>
      <c r="L551" s="9"/>
      <c r="M551" s="9"/>
      <c r="N551" s="10"/>
      <c r="O551" s="10"/>
      <c r="P551" s="13"/>
    </row>
    <row r="552" spans="4:16">
      <c r="D552" s="5">
        <v>409</v>
      </c>
      <c r="E552" s="5">
        <v>409</v>
      </c>
      <c r="F552" s="5" t="s">
        <v>1122</v>
      </c>
      <c r="G552" s="5" t="s">
        <v>1123</v>
      </c>
      <c r="H552" s="5" t="s">
        <v>1124</v>
      </c>
      <c r="I552" s="11" t="s">
        <v>17</v>
      </c>
      <c r="J552" s="11"/>
      <c r="K552" s="11" t="s">
        <v>18</v>
      </c>
      <c r="L552" s="11" t="s">
        <v>33</v>
      </c>
      <c r="M552" s="11">
        <v>7</v>
      </c>
      <c r="N552" s="12">
        <v>140</v>
      </c>
      <c r="O552" s="16">
        <f t="shared" ref="O552:O557" si="68">N552*M552</f>
        <v>980</v>
      </c>
      <c r="P552" s="13"/>
    </row>
    <row r="553" spans="4:16">
      <c r="D553" s="5">
        <v>410</v>
      </c>
      <c r="E553" s="5">
        <v>410</v>
      </c>
      <c r="F553" s="5" t="s">
        <v>1125</v>
      </c>
      <c r="G553" s="5" t="s">
        <v>1126</v>
      </c>
      <c r="H553" s="5" t="s">
        <v>1039</v>
      </c>
      <c r="I553" s="11" t="s">
        <v>17</v>
      </c>
      <c r="J553" s="11"/>
      <c r="K553" s="11" t="s">
        <v>18</v>
      </c>
      <c r="L553" s="11" t="s">
        <v>33</v>
      </c>
      <c r="M553" s="11">
        <v>1</v>
      </c>
      <c r="N553" s="12">
        <v>140</v>
      </c>
      <c r="O553" s="16">
        <f t="shared" si="68"/>
        <v>140</v>
      </c>
      <c r="P553" s="13"/>
    </row>
    <row r="554" spans="4:16">
      <c r="D554" s="5">
        <v>411</v>
      </c>
      <c r="E554" s="5">
        <v>411</v>
      </c>
      <c r="F554" s="5" t="s">
        <v>1127</v>
      </c>
      <c r="G554" s="5" t="s">
        <v>1128</v>
      </c>
      <c r="H554" s="5" t="s">
        <v>1129</v>
      </c>
      <c r="I554" s="11" t="s">
        <v>17</v>
      </c>
      <c r="J554" s="11"/>
      <c r="K554" s="11" t="s">
        <v>18</v>
      </c>
      <c r="L554" s="11" t="s">
        <v>33</v>
      </c>
      <c r="M554" s="11">
        <v>9</v>
      </c>
      <c r="N554" s="12">
        <v>140</v>
      </c>
      <c r="O554" s="16">
        <f t="shared" si="68"/>
        <v>1260</v>
      </c>
      <c r="P554" s="13"/>
    </row>
    <row r="555" ht="34.8" spans="4:16">
      <c r="D555" s="5">
        <v>412</v>
      </c>
      <c r="E555" s="5">
        <v>412</v>
      </c>
      <c r="F555" s="5" t="s">
        <v>1130</v>
      </c>
      <c r="G555" s="5" t="s">
        <v>1131</v>
      </c>
      <c r="H555" s="5" t="s">
        <v>1086</v>
      </c>
      <c r="I555" s="11" t="s">
        <v>17</v>
      </c>
      <c r="J555" s="11"/>
      <c r="K555" s="11" t="s">
        <v>18</v>
      </c>
      <c r="L555" s="11" t="s">
        <v>33</v>
      </c>
      <c r="M555" s="11">
        <v>4</v>
      </c>
      <c r="N555" s="12">
        <v>140</v>
      </c>
      <c r="O555" s="16">
        <f t="shared" si="68"/>
        <v>560</v>
      </c>
      <c r="P555" s="13"/>
    </row>
    <row r="556" spans="4:16">
      <c r="D556" s="5">
        <v>413</v>
      </c>
      <c r="E556" s="5">
        <v>413</v>
      </c>
      <c r="F556" s="5" t="s">
        <v>1132</v>
      </c>
      <c r="G556" s="5" t="s">
        <v>1133</v>
      </c>
      <c r="H556" s="5" t="s">
        <v>994</v>
      </c>
      <c r="I556" s="11" t="s">
        <v>17</v>
      </c>
      <c r="J556" s="11"/>
      <c r="K556" s="11" t="s">
        <v>18</v>
      </c>
      <c r="L556" s="11" t="s">
        <v>33</v>
      </c>
      <c r="M556" s="11">
        <v>201</v>
      </c>
      <c r="N556" s="12">
        <v>70</v>
      </c>
      <c r="O556" s="16">
        <f t="shared" si="68"/>
        <v>14070</v>
      </c>
      <c r="P556" s="13"/>
    </row>
    <row r="557" spans="4:16">
      <c r="D557" s="5">
        <v>414</v>
      </c>
      <c r="E557" s="5">
        <v>414</v>
      </c>
      <c r="F557" s="5" t="s">
        <v>1134</v>
      </c>
      <c r="G557" s="5" t="s">
        <v>1135</v>
      </c>
      <c r="H557" s="5" t="s">
        <v>1136</v>
      </c>
      <c r="I557" s="11" t="s">
        <v>25</v>
      </c>
      <c r="J557" s="11">
        <v>2087</v>
      </c>
      <c r="K557" s="11" t="s">
        <v>18</v>
      </c>
      <c r="L557" s="11" t="s">
        <v>33</v>
      </c>
      <c r="M557" s="11">
        <v>34</v>
      </c>
      <c r="N557" s="12">
        <v>70</v>
      </c>
      <c r="O557" s="16">
        <f t="shared" si="68"/>
        <v>2380</v>
      </c>
      <c r="P557" s="13"/>
    </row>
    <row r="558" spans="4:16">
      <c r="D558" s="4" t="s">
        <v>2</v>
      </c>
      <c r="E558" s="4" t="s">
        <v>3</v>
      </c>
      <c r="F558" s="4" t="s">
        <v>4</v>
      </c>
      <c r="G558" s="4" t="s">
        <v>5</v>
      </c>
      <c r="H558" s="4" t="s">
        <v>6</v>
      </c>
      <c r="I558" s="9" t="s">
        <v>7</v>
      </c>
      <c r="J558" s="9" t="s">
        <v>8</v>
      </c>
      <c r="K558" s="9" t="s">
        <v>9</v>
      </c>
      <c r="L558" s="9" t="s">
        <v>10</v>
      </c>
      <c r="M558" s="9" t="s">
        <v>11</v>
      </c>
      <c r="N558" s="10" t="s">
        <v>12</v>
      </c>
      <c r="O558" s="10" t="s">
        <v>13</v>
      </c>
      <c r="P558" s="13"/>
    </row>
    <row r="559" spans="4:16">
      <c r="D559" s="4"/>
      <c r="E559" s="4"/>
      <c r="F559" s="4"/>
      <c r="G559" s="4"/>
      <c r="H559" s="4"/>
      <c r="I559" s="9"/>
      <c r="J559" s="9"/>
      <c r="K559" s="9"/>
      <c r="L559" s="9"/>
      <c r="M559" s="9"/>
      <c r="N559" s="10"/>
      <c r="O559" s="10"/>
      <c r="P559" s="13"/>
    </row>
    <row r="560" spans="4:16">
      <c r="D560" s="5">
        <v>415</v>
      </c>
      <c r="E560" s="5">
        <v>415</v>
      </c>
      <c r="F560" s="5" t="s">
        <v>1137</v>
      </c>
      <c r="G560" s="5" t="s">
        <v>1138</v>
      </c>
      <c r="H560" s="5" t="s">
        <v>1139</v>
      </c>
      <c r="I560" s="11" t="s">
        <v>25</v>
      </c>
      <c r="J560" s="11">
        <v>2087</v>
      </c>
      <c r="K560" s="11" t="s">
        <v>18</v>
      </c>
      <c r="L560" s="11" t="s">
        <v>33</v>
      </c>
      <c r="M560" s="11">
        <v>10</v>
      </c>
      <c r="N560" s="12">
        <v>70</v>
      </c>
      <c r="O560" s="16">
        <f t="shared" ref="O560:O565" si="69">N560*M560</f>
        <v>700</v>
      </c>
      <c r="P560" s="13"/>
    </row>
    <row r="561" spans="4:16">
      <c r="D561" s="5">
        <v>416</v>
      </c>
      <c r="E561" s="5">
        <v>416</v>
      </c>
      <c r="F561" s="5" t="s">
        <v>1140</v>
      </c>
      <c r="G561" s="5" t="s">
        <v>1141</v>
      </c>
      <c r="H561" s="5" t="s">
        <v>1142</v>
      </c>
      <c r="I561" s="11" t="s">
        <v>25</v>
      </c>
      <c r="J561" s="11">
        <v>2087</v>
      </c>
      <c r="K561" s="11" t="s">
        <v>18</v>
      </c>
      <c r="L561" s="11" t="s">
        <v>33</v>
      </c>
      <c r="M561" s="11">
        <v>114</v>
      </c>
      <c r="N561" s="12">
        <v>70</v>
      </c>
      <c r="O561" s="16">
        <f t="shared" si="69"/>
        <v>7980</v>
      </c>
      <c r="P561" s="13"/>
    </row>
    <row r="562" ht="34.8" spans="4:16">
      <c r="D562" s="5">
        <v>417</v>
      </c>
      <c r="E562" s="5">
        <v>417</v>
      </c>
      <c r="F562" s="5" t="s">
        <v>1143</v>
      </c>
      <c r="G562" s="5" t="s">
        <v>1144</v>
      </c>
      <c r="H562" s="5" t="s">
        <v>1145</v>
      </c>
      <c r="I562" s="11" t="s">
        <v>25</v>
      </c>
      <c r="J562" s="11">
        <v>2087</v>
      </c>
      <c r="K562" s="11" t="s">
        <v>18</v>
      </c>
      <c r="L562" s="11" t="s">
        <v>33</v>
      </c>
      <c r="M562" s="11">
        <v>29</v>
      </c>
      <c r="N562" s="12">
        <v>70</v>
      </c>
      <c r="O562" s="16">
        <f t="shared" si="69"/>
        <v>2030</v>
      </c>
      <c r="P562" s="13"/>
    </row>
    <row r="563" ht="34.8" spans="4:16">
      <c r="D563" s="5">
        <v>418</v>
      </c>
      <c r="E563" s="5">
        <v>418</v>
      </c>
      <c r="F563" s="5" t="s">
        <v>1146</v>
      </c>
      <c r="G563" s="5" t="s">
        <v>1147</v>
      </c>
      <c r="H563" s="5" t="s">
        <v>1148</v>
      </c>
      <c r="I563" s="11" t="s">
        <v>25</v>
      </c>
      <c r="J563" s="11">
        <v>2087</v>
      </c>
      <c r="K563" s="11" t="s">
        <v>18</v>
      </c>
      <c r="L563" s="11" t="s">
        <v>33</v>
      </c>
      <c r="M563" s="11">
        <v>4</v>
      </c>
      <c r="N563" s="12">
        <v>70</v>
      </c>
      <c r="O563" s="16">
        <f t="shared" si="69"/>
        <v>280</v>
      </c>
      <c r="P563" s="13"/>
    </row>
    <row r="564" spans="4:16">
      <c r="D564" s="5">
        <v>419</v>
      </c>
      <c r="E564" s="5">
        <v>419</v>
      </c>
      <c r="F564" s="5" t="s">
        <v>1149</v>
      </c>
      <c r="G564" s="5" t="s">
        <v>1150</v>
      </c>
      <c r="H564" s="5" t="s">
        <v>1003</v>
      </c>
      <c r="I564" s="11" t="s">
        <v>25</v>
      </c>
      <c r="J564" s="11">
        <v>2087</v>
      </c>
      <c r="K564" s="11" t="s">
        <v>18</v>
      </c>
      <c r="L564" s="11" t="s">
        <v>33</v>
      </c>
      <c r="M564" s="11">
        <v>2</v>
      </c>
      <c r="N564" s="12">
        <v>70</v>
      </c>
      <c r="O564" s="16">
        <f t="shared" si="69"/>
        <v>140</v>
      </c>
      <c r="P564" s="13"/>
    </row>
    <row r="565" ht="87" spans="4:16">
      <c r="D565" s="5">
        <v>420</v>
      </c>
      <c r="E565" s="5">
        <v>420</v>
      </c>
      <c r="F565" s="5" t="s">
        <v>1151</v>
      </c>
      <c r="G565" s="5" t="s">
        <v>1152</v>
      </c>
      <c r="H565" s="5" t="s">
        <v>1006</v>
      </c>
      <c r="I565" s="11" t="s">
        <v>17</v>
      </c>
      <c r="J565" s="11"/>
      <c r="K565" s="11" t="s">
        <v>18</v>
      </c>
      <c r="L565" s="11" t="s">
        <v>33</v>
      </c>
      <c r="M565" s="11">
        <v>38</v>
      </c>
      <c r="N565" s="12">
        <v>210</v>
      </c>
      <c r="O565" s="16">
        <f t="shared" si="69"/>
        <v>7980</v>
      </c>
      <c r="P565" s="13"/>
    </row>
    <row r="566" spans="4:16">
      <c r="D566" s="4" t="s">
        <v>2</v>
      </c>
      <c r="E566" s="4" t="s">
        <v>3</v>
      </c>
      <c r="F566" s="4" t="s">
        <v>4</v>
      </c>
      <c r="G566" s="4" t="s">
        <v>5</v>
      </c>
      <c r="H566" s="4" t="s">
        <v>6</v>
      </c>
      <c r="I566" s="9" t="s">
        <v>7</v>
      </c>
      <c r="J566" s="9" t="s">
        <v>8</v>
      </c>
      <c r="K566" s="9" t="s">
        <v>9</v>
      </c>
      <c r="L566" s="9" t="s">
        <v>10</v>
      </c>
      <c r="M566" s="9" t="s">
        <v>11</v>
      </c>
      <c r="N566" s="10" t="s">
        <v>12</v>
      </c>
      <c r="O566" s="10" t="s">
        <v>13</v>
      </c>
      <c r="P566" s="13"/>
    </row>
    <row r="567" spans="4:16">
      <c r="D567" s="4"/>
      <c r="E567" s="4"/>
      <c r="F567" s="4"/>
      <c r="G567" s="4"/>
      <c r="H567" s="4"/>
      <c r="I567" s="9"/>
      <c r="J567" s="9"/>
      <c r="K567" s="9"/>
      <c r="L567" s="9"/>
      <c r="M567" s="9"/>
      <c r="N567" s="10"/>
      <c r="O567" s="10"/>
      <c r="P567" s="13"/>
    </row>
    <row r="568" spans="4:16">
      <c r="D568" s="5">
        <v>421</v>
      </c>
      <c r="E568" s="5">
        <v>421</v>
      </c>
      <c r="F568" s="5" t="s">
        <v>1153</v>
      </c>
      <c r="G568" s="5" t="s">
        <v>1154</v>
      </c>
      <c r="H568" s="5" t="s">
        <v>1009</v>
      </c>
      <c r="I568" s="11" t="s">
        <v>17</v>
      </c>
      <c r="J568" s="11"/>
      <c r="K568" s="11" t="s">
        <v>18</v>
      </c>
      <c r="L568" s="11" t="s">
        <v>33</v>
      </c>
      <c r="M568" s="11">
        <v>22</v>
      </c>
      <c r="N568" s="12">
        <v>350</v>
      </c>
      <c r="O568" s="16">
        <f t="shared" ref="O568:O573" si="70">N568*M568</f>
        <v>7700</v>
      </c>
      <c r="P568" s="13"/>
    </row>
    <row r="569" spans="4:16">
      <c r="D569" s="5">
        <v>422</v>
      </c>
      <c r="E569" s="5">
        <v>422</v>
      </c>
      <c r="F569" s="5" t="s">
        <v>1155</v>
      </c>
      <c r="G569" s="5" t="s">
        <v>1156</v>
      </c>
      <c r="H569" s="5" t="s">
        <v>1012</v>
      </c>
      <c r="I569" s="11" t="s">
        <v>17</v>
      </c>
      <c r="J569" s="11"/>
      <c r="K569" s="11" t="s">
        <v>18</v>
      </c>
      <c r="L569" s="11" t="s">
        <v>33</v>
      </c>
      <c r="M569" s="11">
        <v>4</v>
      </c>
      <c r="N569" s="12">
        <v>350</v>
      </c>
      <c r="O569" s="16">
        <f t="shared" si="70"/>
        <v>1400</v>
      </c>
      <c r="P569" s="13"/>
    </row>
    <row r="570" spans="4:16">
      <c r="D570" s="5">
        <v>423</v>
      </c>
      <c r="E570" s="5">
        <v>423</v>
      </c>
      <c r="F570" s="5" t="s">
        <v>1157</v>
      </c>
      <c r="G570" s="5" t="s">
        <v>1158</v>
      </c>
      <c r="H570" s="5" t="s">
        <v>1015</v>
      </c>
      <c r="I570" s="11" t="s">
        <v>17</v>
      </c>
      <c r="J570" s="11"/>
      <c r="K570" s="11" t="s">
        <v>18</v>
      </c>
      <c r="L570" s="11" t="s">
        <v>33</v>
      </c>
      <c r="M570" s="11">
        <v>4</v>
      </c>
      <c r="N570" s="12">
        <v>350</v>
      </c>
      <c r="O570" s="16">
        <f t="shared" si="70"/>
        <v>1400</v>
      </c>
      <c r="P570" s="13"/>
    </row>
    <row r="571" spans="4:16">
      <c r="D571" s="5">
        <v>424</v>
      </c>
      <c r="E571" s="5">
        <v>424</v>
      </c>
      <c r="F571" s="5" t="s">
        <v>1159</v>
      </c>
      <c r="G571" s="5" t="s">
        <v>1160</v>
      </c>
      <c r="H571" s="5" t="s">
        <v>1161</v>
      </c>
      <c r="I571" s="11" t="s">
        <v>17</v>
      </c>
      <c r="J571" s="11"/>
      <c r="K571" s="11" t="s">
        <v>18</v>
      </c>
      <c r="L571" s="11" t="s">
        <v>33</v>
      </c>
      <c r="M571" s="11">
        <v>4</v>
      </c>
      <c r="N571" s="12">
        <v>350</v>
      </c>
      <c r="O571" s="16">
        <f t="shared" si="70"/>
        <v>1400</v>
      </c>
      <c r="P571" s="13"/>
    </row>
    <row r="572" spans="4:16">
      <c r="D572" s="5">
        <v>425</v>
      </c>
      <c r="E572" s="5">
        <v>425</v>
      </c>
      <c r="F572" s="5" t="s">
        <v>1162</v>
      </c>
      <c r="G572" s="5" t="s">
        <v>1163</v>
      </c>
      <c r="H572" s="5" t="s">
        <v>1164</v>
      </c>
      <c r="I572" s="11" t="s">
        <v>17</v>
      </c>
      <c r="J572" s="11"/>
      <c r="K572" s="11" t="s">
        <v>18</v>
      </c>
      <c r="L572" s="11" t="s">
        <v>33</v>
      </c>
      <c r="M572" s="11">
        <v>4</v>
      </c>
      <c r="N572" s="12">
        <v>350</v>
      </c>
      <c r="O572" s="16">
        <f t="shared" si="70"/>
        <v>1400</v>
      </c>
      <c r="P572" s="13"/>
    </row>
    <row r="573" spans="4:16">
      <c r="D573" s="5">
        <v>426</v>
      </c>
      <c r="E573" s="5">
        <v>426</v>
      </c>
      <c r="F573" s="5" t="s">
        <v>1165</v>
      </c>
      <c r="G573" s="5" t="s">
        <v>1166</v>
      </c>
      <c r="H573" s="5" t="s">
        <v>1167</v>
      </c>
      <c r="I573" s="11" t="s">
        <v>25</v>
      </c>
      <c r="J573" s="11">
        <v>2096</v>
      </c>
      <c r="K573" s="11" t="s">
        <v>18</v>
      </c>
      <c r="L573" s="11" t="s">
        <v>33</v>
      </c>
      <c r="M573" s="11">
        <v>2</v>
      </c>
      <c r="N573" s="12">
        <v>4200</v>
      </c>
      <c r="O573" s="16">
        <f t="shared" si="70"/>
        <v>8400</v>
      </c>
      <c r="P573" s="13"/>
    </row>
    <row r="574" spans="4:16">
      <c r="D574" s="4" t="s">
        <v>2</v>
      </c>
      <c r="E574" s="4" t="s">
        <v>3</v>
      </c>
      <c r="F574" s="4" t="s">
        <v>4</v>
      </c>
      <c r="G574" s="4" t="s">
        <v>5</v>
      </c>
      <c r="H574" s="4" t="s">
        <v>6</v>
      </c>
      <c r="I574" s="9" t="s">
        <v>7</v>
      </c>
      <c r="J574" s="9" t="s">
        <v>8</v>
      </c>
      <c r="K574" s="9" t="s">
        <v>9</v>
      </c>
      <c r="L574" s="9" t="s">
        <v>10</v>
      </c>
      <c r="M574" s="9" t="s">
        <v>11</v>
      </c>
      <c r="N574" s="10" t="s">
        <v>12</v>
      </c>
      <c r="O574" s="10" t="s">
        <v>13</v>
      </c>
      <c r="P574" s="13"/>
    </row>
    <row r="575" spans="4:16">
      <c r="D575" s="4"/>
      <c r="E575" s="4"/>
      <c r="F575" s="4"/>
      <c r="G575" s="4"/>
      <c r="H575" s="4"/>
      <c r="I575" s="9"/>
      <c r="J575" s="9"/>
      <c r="K575" s="9"/>
      <c r="L575" s="9"/>
      <c r="M575" s="9"/>
      <c r="N575" s="10"/>
      <c r="O575" s="10"/>
      <c r="P575" s="13"/>
    </row>
    <row r="576" spans="4:16">
      <c r="D576" s="5">
        <v>427</v>
      </c>
      <c r="E576" s="5">
        <v>427</v>
      </c>
      <c r="F576" s="5" t="s">
        <v>1168</v>
      </c>
      <c r="G576" s="5" t="s">
        <v>1169</v>
      </c>
      <c r="H576" s="5" t="s">
        <v>1170</v>
      </c>
      <c r="I576" s="11" t="s">
        <v>17</v>
      </c>
      <c r="J576" s="11"/>
      <c r="K576" s="11" t="s">
        <v>18</v>
      </c>
      <c r="L576" s="11" t="s">
        <v>33</v>
      </c>
      <c r="M576" s="11">
        <v>2</v>
      </c>
      <c r="N576" s="12">
        <v>24500</v>
      </c>
      <c r="O576" s="16">
        <f t="shared" ref="O576:O581" si="71">N576*M576</f>
        <v>49000</v>
      </c>
      <c r="P576" s="13"/>
    </row>
    <row r="577" spans="4:16">
      <c r="D577" s="5">
        <v>428</v>
      </c>
      <c r="E577" s="5">
        <v>428</v>
      </c>
      <c r="F577" s="5" t="s">
        <v>1171</v>
      </c>
      <c r="G577" s="5" t="s">
        <v>1172</v>
      </c>
      <c r="H577" s="5" t="s">
        <v>1173</v>
      </c>
      <c r="I577" s="11" t="s">
        <v>25</v>
      </c>
      <c r="J577" s="11">
        <v>2096</v>
      </c>
      <c r="K577" s="11" t="s">
        <v>18</v>
      </c>
      <c r="L577" s="11" t="s">
        <v>33</v>
      </c>
      <c r="M577" s="11">
        <v>2</v>
      </c>
      <c r="N577" s="12">
        <v>24500</v>
      </c>
      <c r="O577" s="16">
        <f t="shared" si="71"/>
        <v>49000</v>
      </c>
      <c r="P577" s="13"/>
    </row>
    <row r="578" spans="4:16">
      <c r="D578" s="5">
        <v>429</v>
      </c>
      <c r="E578" s="5">
        <v>429</v>
      </c>
      <c r="F578" s="5" t="s">
        <v>1174</v>
      </c>
      <c r="G578" s="5" t="s">
        <v>1175</v>
      </c>
      <c r="H578" s="5" t="s">
        <v>1176</v>
      </c>
      <c r="I578" s="11" t="s">
        <v>17</v>
      </c>
      <c r="J578" s="11"/>
      <c r="K578" s="11" t="s">
        <v>18</v>
      </c>
      <c r="L578" s="11" t="s">
        <v>33</v>
      </c>
      <c r="M578" s="11">
        <v>2</v>
      </c>
      <c r="N578" s="12">
        <v>4200</v>
      </c>
      <c r="O578" s="16">
        <f t="shared" si="71"/>
        <v>8400</v>
      </c>
      <c r="P578" s="13"/>
    </row>
    <row r="579" spans="4:16">
      <c r="D579" s="5">
        <v>430</v>
      </c>
      <c r="E579" s="5">
        <v>430</v>
      </c>
      <c r="F579" s="5" t="s">
        <v>1177</v>
      </c>
      <c r="G579" s="5" t="s">
        <v>1178</v>
      </c>
      <c r="H579" s="5" t="s">
        <v>1179</v>
      </c>
      <c r="I579" s="11" t="s">
        <v>17</v>
      </c>
      <c r="J579" s="11"/>
      <c r="K579" s="11" t="s">
        <v>18</v>
      </c>
      <c r="L579" s="11" t="s">
        <v>33</v>
      </c>
      <c r="M579" s="11">
        <v>48</v>
      </c>
      <c r="N579" s="12">
        <v>70</v>
      </c>
      <c r="O579" s="16">
        <f t="shared" si="71"/>
        <v>3360</v>
      </c>
      <c r="P579" s="13"/>
    </row>
    <row r="580" spans="4:16">
      <c r="D580" s="5">
        <v>431</v>
      </c>
      <c r="E580" s="5">
        <v>431</v>
      </c>
      <c r="F580" s="5" t="s">
        <v>1180</v>
      </c>
      <c r="G580" s="5" t="s">
        <v>1181</v>
      </c>
      <c r="H580" s="5" t="s">
        <v>1182</v>
      </c>
      <c r="I580" s="11" t="s">
        <v>17</v>
      </c>
      <c r="J580" s="11"/>
      <c r="K580" s="11" t="s">
        <v>18</v>
      </c>
      <c r="L580" s="11" t="s">
        <v>33</v>
      </c>
      <c r="M580" s="11">
        <v>48</v>
      </c>
      <c r="N580" s="12">
        <v>210</v>
      </c>
      <c r="O580" s="16">
        <f t="shared" si="71"/>
        <v>10080</v>
      </c>
      <c r="P580" s="13"/>
    </row>
    <row r="581" spans="4:16">
      <c r="D581" s="5">
        <v>432</v>
      </c>
      <c r="E581" s="5">
        <v>432</v>
      </c>
      <c r="F581" s="5" t="s">
        <v>1183</v>
      </c>
      <c r="G581" s="5" t="s">
        <v>1184</v>
      </c>
      <c r="H581" s="5" t="s">
        <v>1185</v>
      </c>
      <c r="I581" s="11" t="s">
        <v>17</v>
      </c>
      <c r="J581" s="11"/>
      <c r="K581" s="11" t="s">
        <v>18</v>
      </c>
      <c r="L581" s="11" t="s">
        <v>33</v>
      </c>
      <c r="M581" s="11">
        <v>4</v>
      </c>
      <c r="N581" s="12">
        <v>840</v>
      </c>
      <c r="O581" s="16">
        <f t="shared" si="71"/>
        <v>3360</v>
      </c>
      <c r="P581" s="13"/>
    </row>
    <row r="582" spans="4:16">
      <c r="D582" s="4" t="s">
        <v>37</v>
      </c>
      <c r="E582" s="4" t="s">
        <v>3</v>
      </c>
      <c r="F582" s="4" t="s">
        <v>4</v>
      </c>
      <c r="G582" s="4" t="s">
        <v>5</v>
      </c>
      <c r="H582" s="4" t="s">
        <v>6</v>
      </c>
      <c r="I582" s="9" t="s">
        <v>7</v>
      </c>
      <c r="J582" s="9" t="s">
        <v>8</v>
      </c>
      <c r="K582" s="9" t="s">
        <v>9</v>
      </c>
      <c r="L582" s="9" t="s">
        <v>10</v>
      </c>
      <c r="M582" s="9" t="s">
        <v>11</v>
      </c>
      <c r="N582" s="10" t="s">
        <v>12</v>
      </c>
      <c r="O582" s="10" t="s">
        <v>13</v>
      </c>
      <c r="P582" s="13"/>
    </row>
    <row r="583" spans="4:16">
      <c r="D583" s="4"/>
      <c r="E583" s="4"/>
      <c r="F583" s="4"/>
      <c r="G583" s="4"/>
      <c r="H583" s="4"/>
      <c r="I583" s="9"/>
      <c r="J583" s="9"/>
      <c r="K583" s="9"/>
      <c r="L583" s="9"/>
      <c r="M583" s="9"/>
      <c r="N583" s="10"/>
      <c r="O583" s="10"/>
      <c r="P583" s="13"/>
    </row>
    <row r="584" spans="4:16">
      <c r="D584" s="5">
        <v>433</v>
      </c>
      <c r="E584" s="5">
        <v>433</v>
      </c>
      <c r="F584" s="5" t="s">
        <v>1186</v>
      </c>
      <c r="G584" s="5" t="s">
        <v>1187</v>
      </c>
      <c r="H584" s="5" t="s">
        <v>1188</v>
      </c>
      <c r="I584" s="11" t="s">
        <v>17</v>
      </c>
      <c r="J584" s="11"/>
      <c r="K584" s="11" t="s">
        <v>18</v>
      </c>
      <c r="L584" s="11" t="s">
        <v>33</v>
      </c>
      <c r="M584" s="11">
        <v>12</v>
      </c>
      <c r="N584" s="12">
        <v>350</v>
      </c>
      <c r="O584" s="16">
        <f t="shared" ref="O584:O589" si="72">N584*M584</f>
        <v>4200</v>
      </c>
      <c r="P584" s="13"/>
    </row>
    <row r="585" ht="34.8" spans="4:16">
      <c r="D585" s="5">
        <v>434</v>
      </c>
      <c r="E585" s="5">
        <v>434</v>
      </c>
      <c r="F585" s="5" t="s">
        <v>1189</v>
      </c>
      <c r="G585" s="5" t="s">
        <v>1190</v>
      </c>
      <c r="H585" s="5" t="s">
        <v>1191</v>
      </c>
      <c r="I585" s="11" t="s">
        <v>17</v>
      </c>
      <c r="J585" s="11"/>
      <c r="K585" s="11" t="s">
        <v>18</v>
      </c>
      <c r="L585" s="11" t="s">
        <v>33</v>
      </c>
      <c r="M585" s="11">
        <v>7</v>
      </c>
      <c r="N585" s="12">
        <v>350</v>
      </c>
      <c r="O585" s="16">
        <f t="shared" si="72"/>
        <v>2450</v>
      </c>
      <c r="P585" s="13"/>
    </row>
    <row r="586" spans="4:16">
      <c r="D586" s="5">
        <v>435</v>
      </c>
      <c r="E586" s="5">
        <v>435</v>
      </c>
      <c r="F586" s="5" t="s">
        <v>1192</v>
      </c>
      <c r="G586" s="5" t="s">
        <v>1193</v>
      </c>
      <c r="H586" s="5" t="s">
        <v>1194</v>
      </c>
      <c r="I586" s="11" t="s">
        <v>17</v>
      </c>
      <c r="J586" s="11"/>
      <c r="K586" s="11" t="s">
        <v>18</v>
      </c>
      <c r="L586" s="11" t="s">
        <v>33</v>
      </c>
      <c r="M586" s="11">
        <v>16</v>
      </c>
      <c r="N586" s="12">
        <v>350</v>
      </c>
      <c r="O586" s="16">
        <f t="shared" si="72"/>
        <v>5600</v>
      </c>
      <c r="P586" s="13"/>
    </row>
    <row r="587" ht="34.8" spans="4:16">
      <c r="D587" s="5">
        <v>436</v>
      </c>
      <c r="E587" s="5">
        <v>436</v>
      </c>
      <c r="F587" s="5" t="s">
        <v>1195</v>
      </c>
      <c r="G587" s="5" t="s">
        <v>1196</v>
      </c>
      <c r="H587" s="5" t="s">
        <v>1197</v>
      </c>
      <c r="I587" s="11" t="s">
        <v>17</v>
      </c>
      <c r="J587" s="11"/>
      <c r="K587" s="11" t="s">
        <v>18</v>
      </c>
      <c r="L587" s="11" t="s">
        <v>33</v>
      </c>
      <c r="M587" s="11">
        <v>1</v>
      </c>
      <c r="N587" s="12">
        <v>350</v>
      </c>
      <c r="O587" s="16">
        <f t="shared" si="72"/>
        <v>350</v>
      </c>
      <c r="P587" s="13"/>
    </row>
    <row r="588" ht="34.8" spans="4:16">
      <c r="D588" s="5">
        <v>437</v>
      </c>
      <c r="E588" s="5">
        <v>437</v>
      </c>
      <c r="F588" s="5" t="s">
        <v>1198</v>
      </c>
      <c r="G588" s="5" t="s">
        <v>1199</v>
      </c>
      <c r="H588" s="5" t="s">
        <v>1200</v>
      </c>
      <c r="I588" s="11" t="s">
        <v>17</v>
      </c>
      <c r="J588" s="11"/>
      <c r="K588" s="11" t="s">
        <v>18</v>
      </c>
      <c r="L588" s="11" t="s">
        <v>33</v>
      </c>
      <c r="M588" s="11">
        <v>32</v>
      </c>
      <c r="N588" s="12">
        <v>350</v>
      </c>
      <c r="O588" s="16">
        <f t="shared" si="72"/>
        <v>11200</v>
      </c>
      <c r="P588" s="13"/>
    </row>
    <row r="589" ht="121.8" spans="4:16">
      <c r="D589" s="5">
        <v>438</v>
      </c>
      <c r="E589" s="5">
        <v>438</v>
      </c>
      <c r="F589" s="5" t="s">
        <v>1201</v>
      </c>
      <c r="G589" s="5" t="s">
        <v>1202</v>
      </c>
      <c r="H589" s="5" t="s">
        <v>1203</v>
      </c>
      <c r="I589" s="11" t="s">
        <v>17</v>
      </c>
      <c r="J589" s="11"/>
      <c r="K589" s="11" t="s">
        <v>18</v>
      </c>
      <c r="L589" s="11" t="s">
        <v>33</v>
      </c>
      <c r="M589" s="11">
        <v>2</v>
      </c>
      <c r="N589" s="12">
        <v>2450</v>
      </c>
      <c r="O589" s="16">
        <f t="shared" si="72"/>
        <v>4900</v>
      </c>
      <c r="P589" s="13"/>
    </row>
    <row r="590" spans="4:16">
      <c r="D590" s="4" t="s">
        <v>2</v>
      </c>
      <c r="E590" s="4" t="s">
        <v>3</v>
      </c>
      <c r="F590" s="4" t="s">
        <v>4</v>
      </c>
      <c r="G590" s="4" t="s">
        <v>5</v>
      </c>
      <c r="H590" s="4" t="s">
        <v>6</v>
      </c>
      <c r="I590" s="9" t="s">
        <v>7</v>
      </c>
      <c r="J590" s="9" t="s">
        <v>8</v>
      </c>
      <c r="K590" s="9" t="s">
        <v>9</v>
      </c>
      <c r="L590" s="9" t="s">
        <v>10</v>
      </c>
      <c r="M590" s="9" t="s">
        <v>11</v>
      </c>
      <c r="N590" s="10" t="s">
        <v>12</v>
      </c>
      <c r="O590" s="10" t="s">
        <v>13</v>
      </c>
      <c r="P590" s="13"/>
    </row>
    <row r="591" spans="4:16">
      <c r="D591" s="4"/>
      <c r="E591" s="4"/>
      <c r="F591" s="4"/>
      <c r="G591" s="4"/>
      <c r="H591" s="4"/>
      <c r="I591" s="9"/>
      <c r="J591" s="9"/>
      <c r="K591" s="9"/>
      <c r="L591" s="9"/>
      <c r="M591" s="9"/>
      <c r="N591" s="10"/>
      <c r="O591" s="10"/>
      <c r="P591" s="13"/>
    </row>
    <row r="592" ht="121.8" spans="4:16">
      <c r="D592" s="5">
        <v>439</v>
      </c>
      <c r="E592" s="5">
        <v>439</v>
      </c>
      <c r="F592" s="5" t="s">
        <v>1204</v>
      </c>
      <c r="G592" s="5" t="s">
        <v>1205</v>
      </c>
      <c r="H592" s="5" t="s">
        <v>1206</v>
      </c>
      <c r="I592" s="11" t="s">
        <v>17</v>
      </c>
      <c r="J592" s="11"/>
      <c r="K592" s="11" t="s">
        <v>18</v>
      </c>
      <c r="L592" s="11" t="s">
        <v>33</v>
      </c>
      <c r="M592" s="11">
        <v>4</v>
      </c>
      <c r="N592" s="12">
        <v>2450</v>
      </c>
      <c r="O592" s="16">
        <f t="shared" ref="O592:O597" si="73">N592*M592</f>
        <v>9800</v>
      </c>
      <c r="P592" s="13"/>
    </row>
    <row r="593" ht="34.8" spans="4:16">
      <c r="D593" s="5">
        <v>440</v>
      </c>
      <c r="E593" s="5">
        <v>440</v>
      </c>
      <c r="F593" s="5" t="s">
        <v>1207</v>
      </c>
      <c r="G593" s="5" t="s">
        <v>1208</v>
      </c>
      <c r="H593" s="5" t="s">
        <v>1209</v>
      </c>
      <c r="I593" s="11" t="s">
        <v>25</v>
      </c>
      <c r="J593" s="11">
        <v>2088</v>
      </c>
      <c r="K593" s="11" t="s">
        <v>18</v>
      </c>
      <c r="L593" s="11" t="s">
        <v>33</v>
      </c>
      <c r="M593" s="11">
        <v>4</v>
      </c>
      <c r="N593" s="12">
        <v>210</v>
      </c>
      <c r="O593" s="16">
        <f t="shared" si="73"/>
        <v>840</v>
      </c>
      <c r="P593" s="13"/>
    </row>
    <row r="594" ht="34.8" spans="4:16">
      <c r="D594" s="5">
        <v>441</v>
      </c>
      <c r="E594" s="5">
        <v>441</v>
      </c>
      <c r="F594" s="5" t="s">
        <v>1210</v>
      </c>
      <c r="G594" s="5" t="s">
        <v>1211</v>
      </c>
      <c r="H594" s="5" t="s">
        <v>1212</v>
      </c>
      <c r="I594" s="11" t="s">
        <v>25</v>
      </c>
      <c r="J594" s="11">
        <v>2088</v>
      </c>
      <c r="K594" s="11" t="s">
        <v>18</v>
      </c>
      <c r="L594" s="11" t="s">
        <v>33</v>
      </c>
      <c r="M594" s="11">
        <v>2</v>
      </c>
      <c r="N594" s="12">
        <v>70000</v>
      </c>
      <c r="O594" s="16">
        <f t="shared" si="73"/>
        <v>140000</v>
      </c>
      <c r="P594" s="13"/>
    </row>
    <row r="595" spans="4:16">
      <c r="D595" s="5">
        <v>442</v>
      </c>
      <c r="E595" s="5">
        <v>442</v>
      </c>
      <c r="F595" s="5" t="s">
        <v>1213</v>
      </c>
      <c r="G595" s="5" t="s">
        <v>1214</v>
      </c>
      <c r="H595" s="5" t="s">
        <v>1215</v>
      </c>
      <c r="I595" s="11" t="s">
        <v>17</v>
      </c>
      <c r="J595" s="11"/>
      <c r="K595" s="11" t="s">
        <v>18</v>
      </c>
      <c r="L595" s="11" t="s">
        <v>33</v>
      </c>
      <c r="M595" s="11">
        <v>1</v>
      </c>
      <c r="N595" s="12">
        <v>17500</v>
      </c>
      <c r="O595" s="16">
        <f t="shared" si="73"/>
        <v>17500</v>
      </c>
      <c r="P595" s="13"/>
    </row>
    <row r="596" spans="4:16">
      <c r="D596" s="5">
        <v>443</v>
      </c>
      <c r="E596" s="5">
        <v>443</v>
      </c>
      <c r="F596" s="5" t="s">
        <v>1216</v>
      </c>
      <c r="G596" s="5" t="s">
        <v>1217</v>
      </c>
      <c r="H596" s="5" t="s">
        <v>1024</v>
      </c>
      <c r="I596" s="11" t="s">
        <v>17</v>
      </c>
      <c r="J596" s="11"/>
      <c r="K596" s="11" t="s">
        <v>18</v>
      </c>
      <c r="L596" s="11" t="s">
        <v>33</v>
      </c>
      <c r="M596" s="11">
        <v>1</v>
      </c>
      <c r="N596" s="12">
        <v>16800</v>
      </c>
      <c r="O596" s="16">
        <f t="shared" si="73"/>
        <v>16800</v>
      </c>
      <c r="P596" s="13"/>
    </row>
    <row r="597" spans="4:16">
      <c r="D597" s="5">
        <v>444</v>
      </c>
      <c r="E597" s="5">
        <v>444</v>
      </c>
      <c r="F597" s="5" t="s">
        <v>1218</v>
      </c>
      <c r="G597" s="5" t="s">
        <v>1219</v>
      </c>
      <c r="H597" s="5" t="s">
        <v>1220</v>
      </c>
      <c r="I597" s="11" t="s">
        <v>25</v>
      </c>
      <c r="J597" s="11">
        <v>2088</v>
      </c>
      <c r="K597" s="11" t="s">
        <v>18</v>
      </c>
      <c r="L597" s="11" t="s">
        <v>33</v>
      </c>
      <c r="M597" s="11">
        <v>4</v>
      </c>
      <c r="N597" s="12">
        <v>140</v>
      </c>
      <c r="O597" s="16">
        <f t="shared" si="73"/>
        <v>560</v>
      </c>
      <c r="P597" s="13"/>
    </row>
    <row r="598" spans="4:16">
      <c r="D598" s="4" t="s">
        <v>37</v>
      </c>
      <c r="E598" s="4" t="s">
        <v>3</v>
      </c>
      <c r="F598" s="4" t="s">
        <v>4</v>
      </c>
      <c r="G598" s="4" t="s">
        <v>5</v>
      </c>
      <c r="H598" s="4" t="s">
        <v>6</v>
      </c>
      <c r="I598" s="9" t="s">
        <v>7</v>
      </c>
      <c r="J598" s="9" t="s">
        <v>8</v>
      </c>
      <c r="K598" s="9" t="s">
        <v>9</v>
      </c>
      <c r="L598" s="9" t="s">
        <v>10</v>
      </c>
      <c r="M598" s="9" t="s">
        <v>11</v>
      </c>
      <c r="N598" s="10" t="s">
        <v>12</v>
      </c>
      <c r="O598" s="10" t="s">
        <v>13</v>
      </c>
      <c r="P598" s="13"/>
    </row>
    <row r="599" spans="4:16">
      <c r="D599" s="4"/>
      <c r="E599" s="4"/>
      <c r="F599" s="4"/>
      <c r="G599" s="4"/>
      <c r="H599" s="4"/>
      <c r="I599" s="9"/>
      <c r="J599" s="9"/>
      <c r="K599" s="9"/>
      <c r="L599" s="9"/>
      <c r="M599" s="9"/>
      <c r="N599" s="10"/>
      <c r="O599" s="10"/>
      <c r="P599" s="13"/>
    </row>
    <row r="600" spans="4:16">
      <c r="D600" s="5">
        <v>445</v>
      </c>
      <c r="E600" s="5">
        <v>445</v>
      </c>
      <c r="F600" s="5" t="s">
        <v>1221</v>
      </c>
      <c r="G600" s="5" t="s">
        <v>1222</v>
      </c>
      <c r="H600" s="5" t="s">
        <v>1223</v>
      </c>
      <c r="I600" s="11" t="s">
        <v>17</v>
      </c>
      <c r="J600" s="11"/>
      <c r="K600" s="11" t="s">
        <v>18</v>
      </c>
      <c r="L600" s="11" t="s">
        <v>33</v>
      </c>
      <c r="M600" s="11">
        <v>3</v>
      </c>
      <c r="N600" s="12">
        <v>140</v>
      </c>
      <c r="O600" s="16">
        <f t="shared" ref="O600:O605" si="74">N600*M600</f>
        <v>420</v>
      </c>
      <c r="P600" s="13"/>
    </row>
    <row r="601" ht="34.8" spans="4:16">
      <c r="D601" s="5">
        <v>446</v>
      </c>
      <c r="E601" s="5">
        <v>446</v>
      </c>
      <c r="F601" s="5" t="s">
        <v>1224</v>
      </c>
      <c r="G601" s="5" t="s">
        <v>1225</v>
      </c>
      <c r="H601" s="5" t="s">
        <v>1033</v>
      </c>
      <c r="I601" s="11" t="s">
        <v>25</v>
      </c>
      <c r="J601" s="11">
        <v>2085</v>
      </c>
      <c r="K601" s="11" t="s">
        <v>18</v>
      </c>
      <c r="L601" s="11" t="s">
        <v>33</v>
      </c>
      <c r="M601" s="11">
        <v>1</v>
      </c>
      <c r="N601" s="12">
        <v>140</v>
      </c>
      <c r="O601" s="16">
        <f t="shared" si="74"/>
        <v>140</v>
      </c>
      <c r="P601" s="13"/>
    </row>
    <row r="602" ht="34.8" spans="4:16">
      <c r="D602" s="5">
        <v>447</v>
      </c>
      <c r="E602" s="5">
        <v>447</v>
      </c>
      <c r="F602" s="5" t="s">
        <v>1226</v>
      </c>
      <c r="G602" s="5" t="s">
        <v>1227</v>
      </c>
      <c r="H602" s="5" t="s">
        <v>1228</v>
      </c>
      <c r="I602" s="11" t="s">
        <v>25</v>
      </c>
      <c r="J602" s="11">
        <v>2085</v>
      </c>
      <c r="K602" s="11" t="s">
        <v>18</v>
      </c>
      <c r="L602" s="11" t="s">
        <v>33</v>
      </c>
      <c r="M602" s="11">
        <v>1</v>
      </c>
      <c r="N602" s="12">
        <v>140</v>
      </c>
      <c r="O602" s="16">
        <f t="shared" si="74"/>
        <v>140</v>
      </c>
      <c r="P602" s="13"/>
    </row>
    <row r="603" ht="34.8" spans="4:16">
      <c r="D603" s="5">
        <v>448</v>
      </c>
      <c r="E603" s="5">
        <v>448</v>
      </c>
      <c r="F603" s="5" t="s">
        <v>1229</v>
      </c>
      <c r="G603" s="5" t="s">
        <v>1230</v>
      </c>
      <c r="H603" s="5" t="s">
        <v>1039</v>
      </c>
      <c r="I603" s="11" t="s">
        <v>25</v>
      </c>
      <c r="J603" s="11">
        <v>2085</v>
      </c>
      <c r="K603" s="11" t="s">
        <v>18</v>
      </c>
      <c r="L603" s="11" t="s">
        <v>33</v>
      </c>
      <c r="M603" s="11">
        <v>1</v>
      </c>
      <c r="N603" s="12">
        <v>140</v>
      </c>
      <c r="O603" s="16">
        <f t="shared" si="74"/>
        <v>140</v>
      </c>
      <c r="P603" s="13"/>
    </row>
    <row r="604" spans="4:16">
      <c r="D604" s="5">
        <v>449</v>
      </c>
      <c r="E604" s="5">
        <v>449</v>
      </c>
      <c r="F604" s="5" t="s">
        <v>1231</v>
      </c>
      <c r="G604" s="5" t="s">
        <v>1232</v>
      </c>
      <c r="H604" s="5" t="s">
        <v>994</v>
      </c>
      <c r="I604" s="11" t="s">
        <v>17</v>
      </c>
      <c r="J604" s="11"/>
      <c r="K604" s="11" t="s">
        <v>18</v>
      </c>
      <c r="L604" s="11" t="s">
        <v>33</v>
      </c>
      <c r="M604" s="11">
        <v>10</v>
      </c>
      <c r="N604" s="12">
        <v>70</v>
      </c>
      <c r="O604" s="16">
        <f t="shared" si="74"/>
        <v>700</v>
      </c>
      <c r="P604" s="13"/>
    </row>
    <row r="605" spans="4:16">
      <c r="D605" s="5">
        <v>450</v>
      </c>
      <c r="E605" s="5">
        <v>450</v>
      </c>
      <c r="F605" s="5" t="s">
        <v>1233</v>
      </c>
      <c r="G605" s="5" t="s">
        <v>1234</v>
      </c>
      <c r="H605" s="5" t="s">
        <v>1044</v>
      </c>
      <c r="I605" s="11" t="s">
        <v>25</v>
      </c>
      <c r="J605" s="11">
        <v>2087</v>
      </c>
      <c r="K605" s="11" t="s">
        <v>18</v>
      </c>
      <c r="L605" s="11" t="s">
        <v>33</v>
      </c>
      <c r="M605" s="11">
        <v>3</v>
      </c>
      <c r="N605" s="12">
        <v>105</v>
      </c>
      <c r="O605" s="16">
        <f t="shared" si="74"/>
        <v>315</v>
      </c>
      <c r="P605" s="13"/>
    </row>
    <row r="606" spans="4:16">
      <c r="D606" s="4" t="s">
        <v>2</v>
      </c>
      <c r="E606" s="4" t="s">
        <v>3</v>
      </c>
      <c r="F606" s="4" t="s">
        <v>4</v>
      </c>
      <c r="G606" s="4" t="s">
        <v>5</v>
      </c>
      <c r="H606" s="4" t="s">
        <v>6</v>
      </c>
      <c r="I606" s="9" t="s">
        <v>7</v>
      </c>
      <c r="J606" s="9" t="s">
        <v>8</v>
      </c>
      <c r="K606" s="9" t="s">
        <v>9</v>
      </c>
      <c r="L606" s="9" t="s">
        <v>10</v>
      </c>
      <c r="M606" s="9" t="s">
        <v>11</v>
      </c>
      <c r="N606" s="10" t="s">
        <v>12</v>
      </c>
      <c r="O606" s="10" t="s">
        <v>13</v>
      </c>
      <c r="P606" s="13"/>
    </row>
    <row r="607" spans="4:16">
      <c r="D607" s="4"/>
      <c r="E607" s="4"/>
      <c r="F607" s="4"/>
      <c r="G607" s="4"/>
      <c r="H607" s="4"/>
      <c r="I607" s="9"/>
      <c r="J607" s="9"/>
      <c r="K607" s="9"/>
      <c r="L607" s="9"/>
      <c r="M607" s="9"/>
      <c r="N607" s="10"/>
      <c r="O607" s="10"/>
      <c r="P607" s="13"/>
    </row>
    <row r="608" spans="4:16">
      <c r="D608" s="5">
        <v>451</v>
      </c>
      <c r="E608" s="5">
        <v>451</v>
      </c>
      <c r="F608" s="5" t="s">
        <v>1235</v>
      </c>
      <c r="G608" s="5" t="s">
        <v>1236</v>
      </c>
      <c r="H608" s="5" t="s">
        <v>1237</v>
      </c>
      <c r="I608" s="11" t="s">
        <v>25</v>
      </c>
      <c r="J608" s="11">
        <v>2087</v>
      </c>
      <c r="K608" s="11" t="s">
        <v>18</v>
      </c>
      <c r="L608" s="11" t="s">
        <v>33</v>
      </c>
      <c r="M608" s="11">
        <v>4</v>
      </c>
      <c r="N608" s="12">
        <v>70</v>
      </c>
      <c r="O608" s="16">
        <f t="shared" ref="O608:O613" si="75">N608*M608</f>
        <v>280</v>
      </c>
      <c r="P608" s="13"/>
    </row>
    <row r="609" ht="87" spans="4:16">
      <c r="D609" s="5">
        <v>452</v>
      </c>
      <c r="E609" s="5">
        <v>452</v>
      </c>
      <c r="F609" s="5" t="s">
        <v>1238</v>
      </c>
      <c r="G609" s="5" t="s">
        <v>1239</v>
      </c>
      <c r="H609" s="5" t="s">
        <v>1006</v>
      </c>
      <c r="I609" s="11" t="s">
        <v>17</v>
      </c>
      <c r="J609" s="11"/>
      <c r="K609" s="11" t="s">
        <v>18</v>
      </c>
      <c r="L609" s="11" t="s">
        <v>33</v>
      </c>
      <c r="M609" s="11">
        <v>4</v>
      </c>
      <c r="N609" s="12">
        <v>210</v>
      </c>
      <c r="O609" s="16">
        <f t="shared" si="75"/>
        <v>840</v>
      </c>
      <c r="P609" s="13"/>
    </row>
    <row r="610" spans="4:16">
      <c r="D610" s="5">
        <v>453</v>
      </c>
      <c r="E610" s="5">
        <v>453</v>
      </c>
      <c r="F610" s="5" t="s">
        <v>1240</v>
      </c>
      <c r="G610" s="5" t="s">
        <v>1241</v>
      </c>
      <c r="H610" s="5" t="s">
        <v>1009</v>
      </c>
      <c r="I610" s="11" t="s">
        <v>17</v>
      </c>
      <c r="J610" s="11"/>
      <c r="K610" s="11" t="s">
        <v>18</v>
      </c>
      <c r="L610" s="11" t="s">
        <v>33</v>
      </c>
      <c r="M610" s="11">
        <v>2</v>
      </c>
      <c r="N610" s="12">
        <v>350</v>
      </c>
      <c r="O610" s="16">
        <f t="shared" si="75"/>
        <v>700</v>
      </c>
      <c r="P610" s="13"/>
    </row>
    <row r="611" spans="4:16">
      <c r="D611" s="5">
        <v>454</v>
      </c>
      <c r="E611" s="5">
        <v>454</v>
      </c>
      <c r="F611" s="5" t="s">
        <v>1242</v>
      </c>
      <c r="G611" s="5" t="s">
        <v>1243</v>
      </c>
      <c r="H611" s="5" t="s">
        <v>1188</v>
      </c>
      <c r="I611" s="11" t="s">
        <v>17</v>
      </c>
      <c r="J611" s="11"/>
      <c r="K611" s="11" t="s">
        <v>18</v>
      </c>
      <c r="L611" s="11" t="s">
        <v>33</v>
      </c>
      <c r="M611" s="11">
        <v>3</v>
      </c>
      <c r="N611" s="12">
        <v>350</v>
      </c>
      <c r="O611" s="16">
        <f t="shared" si="75"/>
        <v>1050</v>
      </c>
      <c r="P611" s="13"/>
    </row>
    <row r="612" spans="4:16">
      <c r="D612" s="5">
        <v>455</v>
      </c>
      <c r="E612" s="5">
        <v>455</v>
      </c>
      <c r="F612" s="5" t="s">
        <v>1244</v>
      </c>
      <c r="G612" s="5" t="s">
        <v>1245</v>
      </c>
      <c r="H612" s="5" t="s">
        <v>1194</v>
      </c>
      <c r="I612" s="11" t="s">
        <v>17</v>
      </c>
      <c r="J612" s="11"/>
      <c r="K612" s="11" t="s">
        <v>18</v>
      </c>
      <c r="L612" s="11" t="s">
        <v>33</v>
      </c>
      <c r="M612" s="11">
        <v>3</v>
      </c>
      <c r="N612" s="12">
        <v>350</v>
      </c>
      <c r="O612" s="16">
        <f t="shared" si="75"/>
        <v>1050</v>
      </c>
      <c r="P612" s="13"/>
    </row>
    <row r="613" ht="34.8" spans="4:16">
      <c r="D613" s="5">
        <v>456</v>
      </c>
      <c r="E613" s="5">
        <v>456</v>
      </c>
      <c r="F613" s="5" t="s">
        <v>1246</v>
      </c>
      <c r="G613" s="5" t="s">
        <v>1247</v>
      </c>
      <c r="H613" s="5" t="s">
        <v>1200</v>
      </c>
      <c r="I613" s="11" t="s">
        <v>17</v>
      </c>
      <c r="J613" s="11"/>
      <c r="K613" s="11" t="s">
        <v>18</v>
      </c>
      <c r="L613" s="11" t="s">
        <v>33</v>
      </c>
      <c r="M613" s="11">
        <v>3</v>
      </c>
      <c r="N613" s="12">
        <v>350</v>
      </c>
      <c r="O613" s="16">
        <f t="shared" si="75"/>
        <v>1050</v>
      </c>
      <c r="P613" s="13"/>
    </row>
    <row r="614" spans="4:16">
      <c r="D614" s="4" t="s">
        <v>2</v>
      </c>
      <c r="E614" s="4" t="s">
        <v>3</v>
      </c>
      <c r="F614" s="4" t="s">
        <v>4</v>
      </c>
      <c r="G614" s="4" t="s">
        <v>5</v>
      </c>
      <c r="H614" s="4" t="s">
        <v>6</v>
      </c>
      <c r="I614" s="9" t="s">
        <v>7</v>
      </c>
      <c r="J614" s="9" t="s">
        <v>8</v>
      </c>
      <c r="K614" s="9" t="s">
        <v>9</v>
      </c>
      <c r="L614" s="9" t="s">
        <v>10</v>
      </c>
      <c r="M614" s="9" t="s">
        <v>11</v>
      </c>
      <c r="N614" s="10" t="s">
        <v>12</v>
      </c>
      <c r="O614" s="10" t="s">
        <v>13</v>
      </c>
      <c r="P614" s="13"/>
    </row>
    <row r="615" spans="4:16">
      <c r="D615" s="4"/>
      <c r="E615" s="4"/>
      <c r="F615" s="4"/>
      <c r="G615" s="4"/>
      <c r="H615" s="4"/>
      <c r="I615" s="9"/>
      <c r="J615" s="9"/>
      <c r="K615" s="9"/>
      <c r="L615" s="9"/>
      <c r="M615" s="9"/>
      <c r="N615" s="10"/>
      <c r="O615" s="10"/>
      <c r="P615" s="13"/>
    </row>
    <row r="616" ht="69.6" spans="4:16">
      <c r="D616" s="5">
        <v>457</v>
      </c>
      <c r="E616" s="5">
        <v>457</v>
      </c>
      <c r="F616" s="5" t="s">
        <v>1248</v>
      </c>
      <c r="G616" s="5" t="s">
        <v>1249</v>
      </c>
      <c r="H616" s="5" t="s">
        <v>1250</v>
      </c>
      <c r="I616" s="11" t="s">
        <v>25</v>
      </c>
      <c r="J616" s="11">
        <v>2084</v>
      </c>
      <c r="K616" s="11" t="s">
        <v>18</v>
      </c>
      <c r="L616" s="11" t="s">
        <v>33</v>
      </c>
      <c r="M616" s="11">
        <v>2</v>
      </c>
      <c r="N616" s="12">
        <v>8400</v>
      </c>
      <c r="O616" s="16">
        <f t="shared" ref="O616:O621" si="76">N616*M616</f>
        <v>16800</v>
      </c>
      <c r="P616" s="13"/>
    </row>
    <row r="617" spans="4:16">
      <c r="D617" s="5">
        <v>458</v>
      </c>
      <c r="E617" s="5">
        <v>458</v>
      </c>
      <c r="F617" s="5" t="s">
        <v>1251</v>
      </c>
      <c r="G617" s="5" t="s">
        <v>1252</v>
      </c>
      <c r="H617" s="5" t="s">
        <v>1253</v>
      </c>
      <c r="I617" s="11" t="s">
        <v>25</v>
      </c>
      <c r="J617" s="11">
        <v>2084</v>
      </c>
      <c r="K617" s="11" t="s">
        <v>18</v>
      </c>
      <c r="L617" s="11" t="s">
        <v>33</v>
      </c>
      <c r="M617" s="11">
        <v>2</v>
      </c>
      <c r="N617" s="12">
        <v>8400</v>
      </c>
      <c r="O617" s="16">
        <f t="shared" si="76"/>
        <v>16800</v>
      </c>
      <c r="P617" s="13"/>
    </row>
    <row r="618" spans="4:16">
      <c r="D618" s="5">
        <v>459</v>
      </c>
      <c r="E618" s="5">
        <v>459</v>
      </c>
      <c r="F618" s="5" t="s">
        <v>1254</v>
      </c>
      <c r="G618" s="5" t="s">
        <v>1255</v>
      </c>
      <c r="H618" s="5" t="s">
        <v>1115</v>
      </c>
      <c r="I618" s="11" t="s">
        <v>25</v>
      </c>
      <c r="J618" s="11">
        <v>2088</v>
      </c>
      <c r="K618" s="11" t="s">
        <v>18</v>
      </c>
      <c r="L618" s="11" t="s">
        <v>33</v>
      </c>
      <c r="M618" s="11">
        <v>74</v>
      </c>
      <c r="N618" s="12">
        <v>140</v>
      </c>
      <c r="O618" s="16">
        <f t="shared" si="76"/>
        <v>10360</v>
      </c>
      <c r="P618" s="13"/>
    </row>
    <row r="619" spans="4:16">
      <c r="D619" s="5">
        <v>460</v>
      </c>
      <c r="E619" s="5">
        <v>460</v>
      </c>
      <c r="F619" s="5" t="s">
        <v>1256</v>
      </c>
      <c r="G619" s="5" t="s">
        <v>1257</v>
      </c>
      <c r="H619" s="5" t="s">
        <v>1258</v>
      </c>
      <c r="I619" s="11" t="s">
        <v>25</v>
      </c>
      <c r="J619" s="11">
        <v>2088</v>
      </c>
      <c r="K619" s="11" t="s">
        <v>18</v>
      </c>
      <c r="L619" s="11" t="s">
        <v>33</v>
      </c>
      <c r="M619" s="11">
        <v>22</v>
      </c>
      <c r="N619" s="12">
        <v>140</v>
      </c>
      <c r="O619" s="16">
        <f t="shared" si="76"/>
        <v>3080</v>
      </c>
      <c r="P619" s="13"/>
    </row>
    <row r="620" spans="4:16">
      <c r="D620" s="5">
        <v>461</v>
      </c>
      <c r="E620" s="5">
        <v>461</v>
      </c>
      <c r="F620" s="5" t="s">
        <v>1259</v>
      </c>
      <c r="G620" s="5" t="s">
        <v>1260</v>
      </c>
      <c r="H620" s="5" t="s">
        <v>1261</v>
      </c>
      <c r="I620" s="11" t="s">
        <v>25</v>
      </c>
      <c r="J620" s="11">
        <v>2085</v>
      </c>
      <c r="K620" s="11" t="s">
        <v>18</v>
      </c>
      <c r="L620" s="11" t="s">
        <v>33</v>
      </c>
      <c r="M620" s="11">
        <v>16</v>
      </c>
      <c r="N620" s="12">
        <v>140</v>
      </c>
      <c r="O620" s="16">
        <f t="shared" si="76"/>
        <v>2240</v>
      </c>
      <c r="P620" s="13"/>
    </row>
    <row r="621" ht="52.2" spans="4:16">
      <c r="D621" s="5">
        <v>462</v>
      </c>
      <c r="E621" s="5">
        <v>462</v>
      </c>
      <c r="F621" s="5" t="s">
        <v>1262</v>
      </c>
      <c r="G621" s="5" t="s">
        <v>1263</v>
      </c>
      <c r="H621" s="5" t="s">
        <v>1264</v>
      </c>
      <c r="I621" s="11" t="s">
        <v>25</v>
      </c>
      <c r="J621" s="11">
        <v>2088</v>
      </c>
      <c r="K621" s="11" t="s">
        <v>18</v>
      </c>
      <c r="L621" s="11" t="s">
        <v>33</v>
      </c>
      <c r="M621" s="11">
        <v>68</v>
      </c>
      <c r="N621" s="12">
        <v>70</v>
      </c>
      <c r="O621" s="16">
        <f t="shared" si="76"/>
        <v>4760</v>
      </c>
      <c r="P621" s="13"/>
    </row>
    <row r="622" spans="4:16">
      <c r="D622" s="4" t="s">
        <v>2</v>
      </c>
      <c r="E622" s="4" t="s">
        <v>3</v>
      </c>
      <c r="F622" s="4" t="s">
        <v>4</v>
      </c>
      <c r="G622" s="4" t="s">
        <v>5</v>
      </c>
      <c r="H622" s="4" t="s">
        <v>6</v>
      </c>
      <c r="I622" s="9" t="s">
        <v>7</v>
      </c>
      <c r="J622" s="9" t="s">
        <v>8</v>
      </c>
      <c r="K622" s="9" t="s">
        <v>9</v>
      </c>
      <c r="L622" s="9" t="s">
        <v>10</v>
      </c>
      <c r="M622" s="9" t="s">
        <v>11</v>
      </c>
      <c r="N622" s="10" t="s">
        <v>12</v>
      </c>
      <c r="O622" s="10" t="s">
        <v>13</v>
      </c>
      <c r="P622" s="13"/>
    </row>
    <row r="623" spans="4:16">
      <c r="D623" s="4"/>
      <c r="E623" s="4"/>
      <c r="F623" s="4"/>
      <c r="G623" s="4"/>
      <c r="H623" s="4"/>
      <c r="I623" s="9"/>
      <c r="J623" s="9"/>
      <c r="K623" s="9"/>
      <c r="L623" s="9"/>
      <c r="M623" s="9"/>
      <c r="N623" s="10"/>
      <c r="O623" s="10"/>
      <c r="P623" s="13"/>
    </row>
    <row r="624" spans="4:16">
      <c r="D624" s="5">
        <v>463</v>
      </c>
      <c r="E624" s="5">
        <v>463</v>
      </c>
      <c r="F624" s="5" t="s">
        <v>1265</v>
      </c>
      <c r="G624" s="5" t="s">
        <v>1266</v>
      </c>
      <c r="H624" s="5" t="s">
        <v>1267</v>
      </c>
      <c r="I624" s="11" t="s">
        <v>25</v>
      </c>
      <c r="J624" s="11">
        <v>2087</v>
      </c>
      <c r="K624" s="11" t="s">
        <v>18</v>
      </c>
      <c r="L624" s="11" t="s">
        <v>33</v>
      </c>
      <c r="M624" s="11">
        <v>68</v>
      </c>
      <c r="N624" s="12">
        <v>300</v>
      </c>
      <c r="O624" s="16">
        <f t="shared" ref="O624:O629" si="77">N624*M624</f>
        <v>20400</v>
      </c>
      <c r="P624" s="13"/>
    </row>
    <row r="625" ht="87" spans="4:16">
      <c r="D625" s="5">
        <v>464</v>
      </c>
      <c r="E625" s="5">
        <v>464</v>
      </c>
      <c r="F625" s="5" t="s">
        <v>1268</v>
      </c>
      <c r="G625" s="5" t="s">
        <v>1269</v>
      </c>
      <c r="H625" s="5" t="s">
        <v>1006</v>
      </c>
      <c r="I625" s="11" t="s">
        <v>17</v>
      </c>
      <c r="J625" s="11"/>
      <c r="K625" s="11" t="s">
        <v>18</v>
      </c>
      <c r="L625" s="11" t="s">
        <v>33</v>
      </c>
      <c r="M625" s="11">
        <v>18</v>
      </c>
      <c r="N625" s="12">
        <v>225</v>
      </c>
      <c r="O625" s="16">
        <f t="shared" si="77"/>
        <v>4050</v>
      </c>
      <c r="P625" s="13"/>
    </row>
    <row r="626" spans="4:16">
      <c r="D626" s="5">
        <v>465</v>
      </c>
      <c r="E626" s="5">
        <v>465</v>
      </c>
      <c r="F626" s="5" t="s">
        <v>1270</v>
      </c>
      <c r="G626" s="5" t="s">
        <v>1271</v>
      </c>
      <c r="H626" s="5" t="s">
        <v>1052</v>
      </c>
      <c r="I626" s="11" t="s">
        <v>17</v>
      </c>
      <c r="J626" s="11"/>
      <c r="K626" s="11" t="s">
        <v>18</v>
      </c>
      <c r="L626" s="11" t="s">
        <v>33</v>
      </c>
      <c r="M626" s="11">
        <v>6</v>
      </c>
      <c r="N626" s="12">
        <v>375</v>
      </c>
      <c r="O626" s="16">
        <f t="shared" si="77"/>
        <v>2250</v>
      </c>
      <c r="P626" s="13"/>
    </row>
    <row r="627" spans="4:16">
      <c r="D627" s="5">
        <v>466</v>
      </c>
      <c r="E627" s="5">
        <v>466</v>
      </c>
      <c r="F627" s="5" t="s">
        <v>1272</v>
      </c>
      <c r="G627" s="5" t="s">
        <v>1273</v>
      </c>
      <c r="H627" s="5" t="s">
        <v>1018</v>
      </c>
      <c r="I627" s="11" t="s">
        <v>17</v>
      </c>
      <c r="J627" s="11"/>
      <c r="K627" s="11" t="s">
        <v>18</v>
      </c>
      <c r="L627" s="11" t="s">
        <v>33</v>
      </c>
      <c r="M627" s="11">
        <v>6</v>
      </c>
      <c r="N627" s="12">
        <v>375</v>
      </c>
      <c r="O627" s="16">
        <f t="shared" si="77"/>
        <v>2250</v>
      </c>
      <c r="P627" s="13"/>
    </row>
    <row r="628" spans="4:16">
      <c r="D628" s="5">
        <v>467</v>
      </c>
      <c r="E628" s="5">
        <v>467</v>
      </c>
      <c r="F628" s="5" t="s">
        <v>1274</v>
      </c>
      <c r="G628" s="5" t="s">
        <v>1275</v>
      </c>
      <c r="H628" s="5" t="s">
        <v>1276</v>
      </c>
      <c r="I628" s="11" t="s">
        <v>17</v>
      </c>
      <c r="J628" s="11"/>
      <c r="K628" s="11" t="s">
        <v>18</v>
      </c>
      <c r="L628" s="11" t="s">
        <v>33</v>
      </c>
      <c r="M628" s="11">
        <v>6</v>
      </c>
      <c r="N628" s="12">
        <v>2250</v>
      </c>
      <c r="O628" s="16">
        <f t="shared" si="77"/>
        <v>13500</v>
      </c>
      <c r="P628" s="13"/>
    </row>
    <row r="629" ht="34.8" spans="4:16">
      <c r="D629" s="5">
        <v>468</v>
      </c>
      <c r="E629" s="5">
        <v>468</v>
      </c>
      <c r="F629" s="5" t="s">
        <v>1277</v>
      </c>
      <c r="G629" s="5" t="s">
        <v>1278</v>
      </c>
      <c r="H629" s="5" t="s">
        <v>1279</v>
      </c>
      <c r="I629" s="11" t="s">
        <v>17</v>
      </c>
      <c r="J629" s="11"/>
      <c r="K629" s="11" t="s">
        <v>18</v>
      </c>
      <c r="L629" s="11" t="s">
        <v>33</v>
      </c>
      <c r="M629" s="11">
        <v>1</v>
      </c>
      <c r="N629" s="12">
        <v>6750</v>
      </c>
      <c r="O629" s="16">
        <f t="shared" si="77"/>
        <v>6750</v>
      </c>
      <c r="P629" s="13"/>
    </row>
    <row r="630" spans="4:16">
      <c r="D630" s="4" t="s">
        <v>2</v>
      </c>
      <c r="E630" s="4" t="s">
        <v>3</v>
      </c>
      <c r="F630" s="4" t="s">
        <v>4</v>
      </c>
      <c r="G630" s="4" t="s">
        <v>5</v>
      </c>
      <c r="H630" s="4" t="s">
        <v>6</v>
      </c>
      <c r="I630" s="9" t="s">
        <v>7</v>
      </c>
      <c r="J630" s="9" t="s">
        <v>8</v>
      </c>
      <c r="K630" s="9" t="s">
        <v>9</v>
      </c>
      <c r="L630" s="9" t="s">
        <v>10</v>
      </c>
      <c r="M630" s="9" t="s">
        <v>11</v>
      </c>
      <c r="N630" s="10" t="s">
        <v>12</v>
      </c>
      <c r="O630" s="10" t="s">
        <v>13</v>
      </c>
      <c r="P630" s="13"/>
    </row>
    <row r="631" spans="4:16">
      <c r="D631" s="4"/>
      <c r="E631" s="4"/>
      <c r="F631" s="4"/>
      <c r="G631" s="4"/>
      <c r="H631" s="4"/>
      <c r="I631" s="9"/>
      <c r="J631" s="9"/>
      <c r="K631" s="9"/>
      <c r="L631" s="9"/>
      <c r="M631" s="9"/>
      <c r="N631" s="10"/>
      <c r="O631" s="10"/>
      <c r="P631" s="13"/>
    </row>
    <row r="632" ht="69.6" spans="4:16">
      <c r="D632" s="5">
        <v>469</v>
      </c>
      <c r="E632" s="5">
        <v>469</v>
      </c>
      <c r="F632" s="5" t="s">
        <v>1280</v>
      </c>
      <c r="G632" s="5" t="s">
        <v>1281</v>
      </c>
      <c r="H632" s="5" t="s">
        <v>1282</v>
      </c>
      <c r="I632" s="11" t="s">
        <v>17</v>
      </c>
      <c r="J632" s="11"/>
      <c r="K632" s="11" t="s">
        <v>18</v>
      </c>
      <c r="L632" s="11" t="s">
        <v>33</v>
      </c>
      <c r="M632" s="11">
        <v>1</v>
      </c>
      <c r="N632" s="12">
        <v>48750</v>
      </c>
      <c r="O632" s="16">
        <f>N632*M632</f>
        <v>48750</v>
      </c>
      <c r="P632" s="13"/>
    </row>
    <row r="633" ht="56.55" customHeight="1" spans="15:15">
      <c r="O633" s="16">
        <f>SUM(O8:O632)</f>
        <v>11130435</v>
      </c>
    </row>
    <row r="634" spans="15:15">
      <c r="O634" s="17">
        <f>O633+O633*15%</f>
        <v>12800000.25</v>
      </c>
    </row>
    <row r="635" spans="15:15">
      <c r="O635" s="17">
        <f>N635*M635</f>
        <v>0</v>
      </c>
    </row>
    <row r="636" spans="15:15">
      <c r="O636" s="17">
        <f>N636*M636</f>
        <v>0</v>
      </c>
    </row>
  </sheetData>
  <autoFilter xmlns:etc="http://www.wps.cn/officeDocument/2017/etCustomData" ref="D6:N636" etc:filterBottomFollowUsedRange="0">
    <extLst/>
  </autoFilter>
  <mergeCells count="949">
    <mergeCell ref="D6:D7"/>
    <mergeCell ref="D14:D15"/>
    <mergeCell ref="D22:D23"/>
    <mergeCell ref="D30:D31"/>
    <mergeCell ref="D38:D39"/>
    <mergeCell ref="D46:D47"/>
    <mergeCell ref="D54:D55"/>
    <mergeCell ref="D62:D63"/>
    <mergeCell ref="D70:D71"/>
    <mergeCell ref="D78:D79"/>
    <mergeCell ref="D86:D87"/>
    <mergeCell ref="D94:D95"/>
    <mergeCell ref="D102:D103"/>
    <mergeCell ref="D110:D111"/>
    <mergeCell ref="D118:D119"/>
    <mergeCell ref="D126:D127"/>
    <mergeCell ref="D134:D135"/>
    <mergeCell ref="D142:D143"/>
    <mergeCell ref="D150:D151"/>
    <mergeCell ref="D158:D159"/>
    <mergeCell ref="D166:D167"/>
    <mergeCell ref="D174:D175"/>
    <mergeCell ref="D182:D183"/>
    <mergeCell ref="D190:D191"/>
    <mergeCell ref="D198:D199"/>
    <mergeCell ref="D206:D207"/>
    <mergeCell ref="D214:D215"/>
    <mergeCell ref="D222:D223"/>
    <mergeCell ref="D230:D231"/>
    <mergeCell ref="D238:D239"/>
    <mergeCell ref="D246:D247"/>
    <mergeCell ref="D254:D255"/>
    <mergeCell ref="D262:D263"/>
    <mergeCell ref="D270:D271"/>
    <mergeCell ref="D278:D279"/>
    <mergeCell ref="D286:D287"/>
    <mergeCell ref="D294:D295"/>
    <mergeCell ref="D302:D303"/>
    <mergeCell ref="D310:D311"/>
    <mergeCell ref="D318:D319"/>
    <mergeCell ref="D326:D327"/>
    <mergeCell ref="D334:D335"/>
    <mergeCell ref="D342:D343"/>
    <mergeCell ref="D350:D351"/>
    <mergeCell ref="D358:D359"/>
    <mergeCell ref="D366:D367"/>
    <mergeCell ref="D374:D375"/>
    <mergeCell ref="D382:D383"/>
    <mergeCell ref="D390:D391"/>
    <mergeCell ref="D398:D399"/>
    <mergeCell ref="D406:D407"/>
    <mergeCell ref="D414:D415"/>
    <mergeCell ref="D422:D423"/>
    <mergeCell ref="D430:D431"/>
    <mergeCell ref="D438:D439"/>
    <mergeCell ref="D446:D447"/>
    <mergeCell ref="D454:D455"/>
    <mergeCell ref="D462:D463"/>
    <mergeCell ref="D470:D471"/>
    <mergeCell ref="D478:D479"/>
    <mergeCell ref="D486:D487"/>
    <mergeCell ref="D494:D495"/>
    <mergeCell ref="D502:D503"/>
    <mergeCell ref="D510:D511"/>
    <mergeCell ref="D518:D519"/>
    <mergeCell ref="D526:D527"/>
    <mergeCell ref="D534:D535"/>
    <mergeCell ref="D542:D543"/>
    <mergeCell ref="D550:D551"/>
    <mergeCell ref="D558:D559"/>
    <mergeCell ref="D566:D567"/>
    <mergeCell ref="D574:D575"/>
    <mergeCell ref="D582:D583"/>
    <mergeCell ref="D590:D591"/>
    <mergeCell ref="D598:D599"/>
    <mergeCell ref="D606:D607"/>
    <mergeCell ref="D614:D615"/>
    <mergeCell ref="D622:D623"/>
    <mergeCell ref="D630:D631"/>
    <mergeCell ref="E6:E7"/>
    <mergeCell ref="E14:E15"/>
    <mergeCell ref="E22:E23"/>
    <mergeCell ref="E30:E31"/>
    <mergeCell ref="E38:E39"/>
    <mergeCell ref="E46:E47"/>
    <mergeCell ref="E54:E55"/>
    <mergeCell ref="E62:E63"/>
    <mergeCell ref="E70:E71"/>
    <mergeCell ref="E78:E79"/>
    <mergeCell ref="E86:E87"/>
    <mergeCell ref="E94:E95"/>
    <mergeCell ref="E102:E103"/>
    <mergeCell ref="E110:E111"/>
    <mergeCell ref="E118:E119"/>
    <mergeCell ref="E126:E127"/>
    <mergeCell ref="E134:E135"/>
    <mergeCell ref="E142:E143"/>
    <mergeCell ref="E150:E151"/>
    <mergeCell ref="E158:E159"/>
    <mergeCell ref="E166:E167"/>
    <mergeCell ref="E174:E175"/>
    <mergeCell ref="E182:E183"/>
    <mergeCell ref="E190:E191"/>
    <mergeCell ref="E198:E199"/>
    <mergeCell ref="E206:E207"/>
    <mergeCell ref="E214:E215"/>
    <mergeCell ref="E222:E223"/>
    <mergeCell ref="E230:E231"/>
    <mergeCell ref="E238:E239"/>
    <mergeCell ref="E246:E247"/>
    <mergeCell ref="E254:E255"/>
    <mergeCell ref="E262:E263"/>
    <mergeCell ref="E270:E271"/>
    <mergeCell ref="E278:E279"/>
    <mergeCell ref="E286:E287"/>
    <mergeCell ref="E294:E295"/>
    <mergeCell ref="E302:E303"/>
    <mergeCell ref="E310:E311"/>
    <mergeCell ref="E318:E319"/>
    <mergeCell ref="E326:E327"/>
    <mergeCell ref="E334:E335"/>
    <mergeCell ref="E342:E343"/>
    <mergeCell ref="E350:E351"/>
    <mergeCell ref="E358:E359"/>
    <mergeCell ref="E366:E367"/>
    <mergeCell ref="E374:E375"/>
    <mergeCell ref="E382:E383"/>
    <mergeCell ref="E390:E391"/>
    <mergeCell ref="E398:E399"/>
    <mergeCell ref="E406:E407"/>
    <mergeCell ref="E414:E415"/>
    <mergeCell ref="E422:E423"/>
    <mergeCell ref="E430:E431"/>
    <mergeCell ref="E438:E439"/>
    <mergeCell ref="E446:E447"/>
    <mergeCell ref="E454:E455"/>
    <mergeCell ref="E462:E463"/>
    <mergeCell ref="E470:E471"/>
    <mergeCell ref="E478:E479"/>
    <mergeCell ref="E486:E487"/>
    <mergeCell ref="E494:E495"/>
    <mergeCell ref="E502:E503"/>
    <mergeCell ref="E510:E511"/>
    <mergeCell ref="E518:E519"/>
    <mergeCell ref="E526:E527"/>
    <mergeCell ref="E534:E535"/>
    <mergeCell ref="E542:E543"/>
    <mergeCell ref="E550:E551"/>
    <mergeCell ref="E558:E559"/>
    <mergeCell ref="E566:E567"/>
    <mergeCell ref="E574:E575"/>
    <mergeCell ref="E582:E583"/>
    <mergeCell ref="E590:E591"/>
    <mergeCell ref="E598:E599"/>
    <mergeCell ref="E606:E607"/>
    <mergeCell ref="E614:E615"/>
    <mergeCell ref="E622:E623"/>
    <mergeCell ref="E630:E631"/>
    <mergeCell ref="F6:F7"/>
    <mergeCell ref="F14:F15"/>
    <mergeCell ref="F22:F23"/>
    <mergeCell ref="F30:F31"/>
    <mergeCell ref="F38:F39"/>
    <mergeCell ref="F46:F47"/>
    <mergeCell ref="F54:F55"/>
    <mergeCell ref="F62:F63"/>
    <mergeCell ref="F70:F71"/>
    <mergeCell ref="F78:F79"/>
    <mergeCell ref="F86:F87"/>
    <mergeCell ref="F94:F95"/>
    <mergeCell ref="F102:F103"/>
    <mergeCell ref="F110:F111"/>
    <mergeCell ref="F118:F119"/>
    <mergeCell ref="F126:F127"/>
    <mergeCell ref="F134:F135"/>
    <mergeCell ref="F142:F143"/>
    <mergeCell ref="F150:F151"/>
    <mergeCell ref="F158:F159"/>
    <mergeCell ref="F166:F167"/>
    <mergeCell ref="F174:F175"/>
    <mergeCell ref="F182:F183"/>
    <mergeCell ref="F190:F191"/>
    <mergeCell ref="F198:F199"/>
    <mergeCell ref="F206:F207"/>
    <mergeCell ref="F214:F215"/>
    <mergeCell ref="F222:F223"/>
    <mergeCell ref="F230:F231"/>
    <mergeCell ref="F238:F239"/>
    <mergeCell ref="F246:F247"/>
    <mergeCell ref="F254:F255"/>
    <mergeCell ref="F262:F263"/>
    <mergeCell ref="F270:F271"/>
    <mergeCell ref="F278:F279"/>
    <mergeCell ref="F286:F287"/>
    <mergeCell ref="F294:F295"/>
    <mergeCell ref="F302:F303"/>
    <mergeCell ref="F310:F311"/>
    <mergeCell ref="F318:F319"/>
    <mergeCell ref="F326:F327"/>
    <mergeCell ref="F334:F335"/>
    <mergeCell ref="F342:F343"/>
    <mergeCell ref="F350:F351"/>
    <mergeCell ref="F358:F359"/>
    <mergeCell ref="F366:F367"/>
    <mergeCell ref="F374:F375"/>
    <mergeCell ref="F382:F383"/>
    <mergeCell ref="F390:F391"/>
    <mergeCell ref="F398:F399"/>
    <mergeCell ref="F406:F407"/>
    <mergeCell ref="F414:F415"/>
    <mergeCell ref="F422:F423"/>
    <mergeCell ref="F430:F431"/>
    <mergeCell ref="F438:F439"/>
    <mergeCell ref="F446:F447"/>
    <mergeCell ref="F454:F455"/>
    <mergeCell ref="F462:F463"/>
    <mergeCell ref="F470:F471"/>
    <mergeCell ref="F478:F479"/>
    <mergeCell ref="F486:F487"/>
    <mergeCell ref="F494:F495"/>
    <mergeCell ref="F502:F503"/>
    <mergeCell ref="F510:F511"/>
    <mergeCell ref="F518:F519"/>
    <mergeCell ref="F526:F527"/>
    <mergeCell ref="F534:F535"/>
    <mergeCell ref="F542:F543"/>
    <mergeCell ref="F550:F551"/>
    <mergeCell ref="F558:F559"/>
    <mergeCell ref="F566:F567"/>
    <mergeCell ref="F574:F575"/>
    <mergeCell ref="F582:F583"/>
    <mergeCell ref="F590:F591"/>
    <mergeCell ref="F598:F599"/>
    <mergeCell ref="F606:F607"/>
    <mergeCell ref="F614:F615"/>
    <mergeCell ref="F622:F623"/>
    <mergeCell ref="F630:F631"/>
    <mergeCell ref="G6:G7"/>
    <mergeCell ref="G14:G15"/>
    <mergeCell ref="G22:G23"/>
    <mergeCell ref="G30:G31"/>
    <mergeCell ref="G38:G39"/>
    <mergeCell ref="G46:G47"/>
    <mergeCell ref="G54:G55"/>
    <mergeCell ref="G62:G63"/>
    <mergeCell ref="G70:G71"/>
    <mergeCell ref="G78:G79"/>
    <mergeCell ref="G86:G87"/>
    <mergeCell ref="G94:G95"/>
    <mergeCell ref="G102:G103"/>
    <mergeCell ref="G110:G111"/>
    <mergeCell ref="G118:G119"/>
    <mergeCell ref="G126:G127"/>
    <mergeCell ref="G134:G135"/>
    <mergeCell ref="G142:G143"/>
    <mergeCell ref="G150:G151"/>
    <mergeCell ref="G158:G159"/>
    <mergeCell ref="G166:G167"/>
    <mergeCell ref="G174:G175"/>
    <mergeCell ref="G182:G183"/>
    <mergeCell ref="G190:G191"/>
    <mergeCell ref="G198:G199"/>
    <mergeCell ref="G206:G207"/>
    <mergeCell ref="G214:G215"/>
    <mergeCell ref="G222:G223"/>
    <mergeCell ref="G230:G231"/>
    <mergeCell ref="G238:G239"/>
    <mergeCell ref="G246:G247"/>
    <mergeCell ref="G254:G255"/>
    <mergeCell ref="G262:G263"/>
    <mergeCell ref="G270:G271"/>
    <mergeCell ref="G278:G279"/>
    <mergeCell ref="G286:G287"/>
    <mergeCell ref="G294:G295"/>
    <mergeCell ref="G302:G303"/>
    <mergeCell ref="G310:G311"/>
    <mergeCell ref="G318:G319"/>
    <mergeCell ref="G326:G327"/>
    <mergeCell ref="G334:G335"/>
    <mergeCell ref="G342:G343"/>
    <mergeCell ref="G350:G351"/>
    <mergeCell ref="G358:G359"/>
    <mergeCell ref="G366:G367"/>
    <mergeCell ref="G374:G375"/>
    <mergeCell ref="G382:G383"/>
    <mergeCell ref="G390:G391"/>
    <mergeCell ref="G398:G399"/>
    <mergeCell ref="G406:G407"/>
    <mergeCell ref="G414:G415"/>
    <mergeCell ref="G422:G423"/>
    <mergeCell ref="G430:G431"/>
    <mergeCell ref="G438:G439"/>
    <mergeCell ref="G446:G447"/>
    <mergeCell ref="G454:G455"/>
    <mergeCell ref="G462:G463"/>
    <mergeCell ref="G470:G471"/>
    <mergeCell ref="G478:G479"/>
    <mergeCell ref="G486:G487"/>
    <mergeCell ref="G494:G495"/>
    <mergeCell ref="G502:G503"/>
    <mergeCell ref="G510:G511"/>
    <mergeCell ref="G518:G519"/>
    <mergeCell ref="G526:G527"/>
    <mergeCell ref="G534:G535"/>
    <mergeCell ref="G542:G543"/>
    <mergeCell ref="G550:G551"/>
    <mergeCell ref="G558:G559"/>
    <mergeCell ref="G566:G567"/>
    <mergeCell ref="G574:G575"/>
    <mergeCell ref="G582:G583"/>
    <mergeCell ref="G590:G591"/>
    <mergeCell ref="G598:G599"/>
    <mergeCell ref="G606:G607"/>
    <mergeCell ref="G614:G615"/>
    <mergeCell ref="G622:G623"/>
    <mergeCell ref="G630:G631"/>
    <mergeCell ref="H6:H7"/>
    <mergeCell ref="H14:H15"/>
    <mergeCell ref="H22:H23"/>
    <mergeCell ref="H30:H31"/>
    <mergeCell ref="H38:H39"/>
    <mergeCell ref="H46:H47"/>
    <mergeCell ref="H54:H55"/>
    <mergeCell ref="H62:H63"/>
    <mergeCell ref="H70:H71"/>
    <mergeCell ref="H78:H79"/>
    <mergeCell ref="H86:H87"/>
    <mergeCell ref="H94:H95"/>
    <mergeCell ref="H102:H103"/>
    <mergeCell ref="H110:H111"/>
    <mergeCell ref="H118:H119"/>
    <mergeCell ref="H126:H127"/>
    <mergeCell ref="H134:H135"/>
    <mergeCell ref="H142:H143"/>
    <mergeCell ref="H150:H151"/>
    <mergeCell ref="H158:H159"/>
    <mergeCell ref="H166:H167"/>
    <mergeCell ref="H174:H175"/>
    <mergeCell ref="H182:H183"/>
    <mergeCell ref="H190:H191"/>
    <mergeCell ref="H198:H199"/>
    <mergeCell ref="H206:H207"/>
    <mergeCell ref="H214:H215"/>
    <mergeCell ref="H222:H223"/>
    <mergeCell ref="H230:H231"/>
    <mergeCell ref="H238:H239"/>
    <mergeCell ref="H246:H247"/>
    <mergeCell ref="H254:H255"/>
    <mergeCell ref="H262:H263"/>
    <mergeCell ref="H270:H271"/>
    <mergeCell ref="H278:H279"/>
    <mergeCell ref="H286:H287"/>
    <mergeCell ref="H294:H295"/>
    <mergeCell ref="H302:H303"/>
    <mergeCell ref="H310:H311"/>
    <mergeCell ref="H318:H319"/>
    <mergeCell ref="H326:H327"/>
    <mergeCell ref="H334:H335"/>
    <mergeCell ref="H342:H343"/>
    <mergeCell ref="H350:H351"/>
    <mergeCell ref="H358:H359"/>
    <mergeCell ref="H366:H367"/>
    <mergeCell ref="H374:H375"/>
    <mergeCell ref="H382:H383"/>
    <mergeCell ref="H390:H391"/>
    <mergeCell ref="H398:H399"/>
    <mergeCell ref="H406:H407"/>
    <mergeCell ref="H414:H415"/>
    <mergeCell ref="H422:H423"/>
    <mergeCell ref="H430:H431"/>
    <mergeCell ref="H438:H439"/>
    <mergeCell ref="H446:H447"/>
    <mergeCell ref="H454:H455"/>
    <mergeCell ref="H462:H463"/>
    <mergeCell ref="H470:H471"/>
    <mergeCell ref="H478:H479"/>
    <mergeCell ref="H486:H487"/>
    <mergeCell ref="H494:H495"/>
    <mergeCell ref="H502:H503"/>
    <mergeCell ref="H510:H511"/>
    <mergeCell ref="H518:H519"/>
    <mergeCell ref="H526:H527"/>
    <mergeCell ref="H534:H535"/>
    <mergeCell ref="H542:H543"/>
    <mergeCell ref="H550:H551"/>
    <mergeCell ref="H558:H559"/>
    <mergeCell ref="H566:H567"/>
    <mergeCell ref="H574:H575"/>
    <mergeCell ref="H582:H583"/>
    <mergeCell ref="H590:H591"/>
    <mergeCell ref="H598:H599"/>
    <mergeCell ref="H606:H607"/>
    <mergeCell ref="H614:H615"/>
    <mergeCell ref="H622:H623"/>
    <mergeCell ref="H630:H631"/>
    <mergeCell ref="I6:I7"/>
    <mergeCell ref="I14:I15"/>
    <mergeCell ref="I22:I23"/>
    <mergeCell ref="I30:I31"/>
    <mergeCell ref="I38:I39"/>
    <mergeCell ref="I46:I47"/>
    <mergeCell ref="I54:I55"/>
    <mergeCell ref="I62:I63"/>
    <mergeCell ref="I70:I71"/>
    <mergeCell ref="I78:I79"/>
    <mergeCell ref="I86:I87"/>
    <mergeCell ref="I94:I95"/>
    <mergeCell ref="I102:I103"/>
    <mergeCell ref="I110:I111"/>
    <mergeCell ref="I118:I119"/>
    <mergeCell ref="I126:I127"/>
    <mergeCell ref="I134:I135"/>
    <mergeCell ref="I142:I143"/>
    <mergeCell ref="I150:I151"/>
    <mergeCell ref="I158:I159"/>
    <mergeCell ref="I166:I167"/>
    <mergeCell ref="I174:I175"/>
    <mergeCell ref="I182:I183"/>
    <mergeCell ref="I190:I191"/>
    <mergeCell ref="I198:I199"/>
    <mergeCell ref="I206:I207"/>
    <mergeCell ref="I214:I215"/>
    <mergeCell ref="I222:I223"/>
    <mergeCell ref="I230:I231"/>
    <mergeCell ref="I238:I239"/>
    <mergeCell ref="I246:I247"/>
    <mergeCell ref="I254:I255"/>
    <mergeCell ref="I262:I263"/>
    <mergeCell ref="I270:I271"/>
    <mergeCell ref="I278:I279"/>
    <mergeCell ref="I286:I287"/>
    <mergeCell ref="I294:I295"/>
    <mergeCell ref="I302:I303"/>
    <mergeCell ref="I310:I311"/>
    <mergeCell ref="I318:I319"/>
    <mergeCell ref="I326:I327"/>
    <mergeCell ref="I334:I335"/>
    <mergeCell ref="I342:I343"/>
    <mergeCell ref="I350:I351"/>
    <mergeCell ref="I358:I359"/>
    <mergeCell ref="I366:I367"/>
    <mergeCell ref="I374:I375"/>
    <mergeCell ref="I382:I383"/>
    <mergeCell ref="I390:I391"/>
    <mergeCell ref="I398:I399"/>
    <mergeCell ref="I406:I407"/>
    <mergeCell ref="I414:I415"/>
    <mergeCell ref="I422:I423"/>
    <mergeCell ref="I430:I431"/>
    <mergeCell ref="I438:I439"/>
    <mergeCell ref="I446:I447"/>
    <mergeCell ref="I454:I455"/>
    <mergeCell ref="I462:I463"/>
    <mergeCell ref="I470:I471"/>
    <mergeCell ref="I478:I479"/>
    <mergeCell ref="I486:I487"/>
    <mergeCell ref="I494:I495"/>
    <mergeCell ref="I502:I503"/>
    <mergeCell ref="I510:I511"/>
    <mergeCell ref="I518:I519"/>
    <mergeCell ref="I526:I527"/>
    <mergeCell ref="I534:I535"/>
    <mergeCell ref="I542:I543"/>
    <mergeCell ref="I550:I551"/>
    <mergeCell ref="I558:I559"/>
    <mergeCell ref="I566:I567"/>
    <mergeCell ref="I574:I575"/>
    <mergeCell ref="I582:I583"/>
    <mergeCell ref="I590:I591"/>
    <mergeCell ref="I598:I599"/>
    <mergeCell ref="I606:I607"/>
    <mergeCell ref="I614:I615"/>
    <mergeCell ref="I622:I623"/>
    <mergeCell ref="I630:I631"/>
    <mergeCell ref="J6:J7"/>
    <mergeCell ref="J14:J15"/>
    <mergeCell ref="J22:J23"/>
    <mergeCell ref="J30:J31"/>
    <mergeCell ref="J38:J39"/>
    <mergeCell ref="J46:J47"/>
    <mergeCell ref="J54:J55"/>
    <mergeCell ref="J62:J63"/>
    <mergeCell ref="J70:J71"/>
    <mergeCell ref="J78:J79"/>
    <mergeCell ref="J86:J87"/>
    <mergeCell ref="J94:J95"/>
    <mergeCell ref="J102:J103"/>
    <mergeCell ref="J110:J111"/>
    <mergeCell ref="J118:J119"/>
    <mergeCell ref="J126:J127"/>
    <mergeCell ref="J134:J135"/>
    <mergeCell ref="J142:J143"/>
    <mergeCell ref="J150:J151"/>
    <mergeCell ref="J158:J159"/>
    <mergeCell ref="J166:J167"/>
    <mergeCell ref="J174:J175"/>
    <mergeCell ref="J182:J183"/>
    <mergeCell ref="J190:J191"/>
    <mergeCell ref="J198:J199"/>
    <mergeCell ref="J206:J207"/>
    <mergeCell ref="J214:J215"/>
    <mergeCell ref="J222:J223"/>
    <mergeCell ref="J230:J231"/>
    <mergeCell ref="J238:J239"/>
    <mergeCell ref="J246:J247"/>
    <mergeCell ref="J254:J255"/>
    <mergeCell ref="J262:J263"/>
    <mergeCell ref="J270:J271"/>
    <mergeCell ref="J278:J279"/>
    <mergeCell ref="J286:J287"/>
    <mergeCell ref="J294:J295"/>
    <mergeCell ref="J302:J303"/>
    <mergeCell ref="J310:J311"/>
    <mergeCell ref="J318:J319"/>
    <mergeCell ref="J326:J327"/>
    <mergeCell ref="J334:J335"/>
    <mergeCell ref="J342:J343"/>
    <mergeCell ref="J350:J351"/>
    <mergeCell ref="J358:J359"/>
    <mergeCell ref="J366:J367"/>
    <mergeCell ref="J374:J375"/>
    <mergeCell ref="J382:J383"/>
    <mergeCell ref="J390:J391"/>
    <mergeCell ref="J398:J399"/>
    <mergeCell ref="J406:J407"/>
    <mergeCell ref="J414:J415"/>
    <mergeCell ref="J422:J423"/>
    <mergeCell ref="J430:J431"/>
    <mergeCell ref="J438:J439"/>
    <mergeCell ref="J446:J447"/>
    <mergeCell ref="J454:J455"/>
    <mergeCell ref="J462:J463"/>
    <mergeCell ref="J470:J471"/>
    <mergeCell ref="J478:J479"/>
    <mergeCell ref="J486:J487"/>
    <mergeCell ref="J494:J495"/>
    <mergeCell ref="J502:J503"/>
    <mergeCell ref="J510:J511"/>
    <mergeCell ref="J518:J519"/>
    <mergeCell ref="J526:J527"/>
    <mergeCell ref="J534:J535"/>
    <mergeCell ref="J542:J543"/>
    <mergeCell ref="J550:J551"/>
    <mergeCell ref="J558:J559"/>
    <mergeCell ref="J566:J567"/>
    <mergeCell ref="J574:J575"/>
    <mergeCell ref="J582:J583"/>
    <mergeCell ref="J590:J591"/>
    <mergeCell ref="J598:J599"/>
    <mergeCell ref="J606:J607"/>
    <mergeCell ref="J614:J615"/>
    <mergeCell ref="J622:J623"/>
    <mergeCell ref="J630:J631"/>
    <mergeCell ref="K6:K7"/>
    <mergeCell ref="K14:K15"/>
    <mergeCell ref="K22:K23"/>
    <mergeCell ref="K30:K31"/>
    <mergeCell ref="K38:K39"/>
    <mergeCell ref="K46:K47"/>
    <mergeCell ref="K54:K55"/>
    <mergeCell ref="K62:K63"/>
    <mergeCell ref="K70:K71"/>
    <mergeCell ref="K78:K79"/>
    <mergeCell ref="K86:K87"/>
    <mergeCell ref="K94:K95"/>
    <mergeCell ref="K102:K103"/>
    <mergeCell ref="K110:K111"/>
    <mergeCell ref="K118:K119"/>
    <mergeCell ref="K126:K127"/>
    <mergeCell ref="K134:K135"/>
    <mergeCell ref="K142:K143"/>
    <mergeCell ref="K150:K151"/>
    <mergeCell ref="K158:K159"/>
    <mergeCell ref="K166:K167"/>
    <mergeCell ref="K174:K175"/>
    <mergeCell ref="K182:K183"/>
    <mergeCell ref="K190:K191"/>
    <mergeCell ref="K198:K199"/>
    <mergeCell ref="K206:K207"/>
    <mergeCell ref="K214:K215"/>
    <mergeCell ref="K222:K223"/>
    <mergeCell ref="K230:K231"/>
    <mergeCell ref="K238:K239"/>
    <mergeCell ref="K246:K247"/>
    <mergeCell ref="K254:K255"/>
    <mergeCell ref="K262:K263"/>
    <mergeCell ref="K270:K271"/>
    <mergeCell ref="K278:K279"/>
    <mergeCell ref="K286:K287"/>
    <mergeCell ref="K294:K295"/>
    <mergeCell ref="K302:K303"/>
    <mergeCell ref="K310:K311"/>
    <mergeCell ref="K318:K319"/>
    <mergeCell ref="K326:K327"/>
    <mergeCell ref="K334:K335"/>
    <mergeCell ref="K342:K343"/>
    <mergeCell ref="K350:K351"/>
    <mergeCell ref="K358:K359"/>
    <mergeCell ref="K366:K367"/>
    <mergeCell ref="K374:K375"/>
    <mergeCell ref="K382:K383"/>
    <mergeCell ref="K390:K391"/>
    <mergeCell ref="K398:K399"/>
    <mergeCell ref="K406:K407"/>
    <mergeCell ref="K414:K415"/>
    <mergeCell ref="K422:K423"/>
    <mergeCell ref="K430:K431"/>
    <mergeCell ref="K438:K439"/>
    <mergeCell ref="K446:K447"/>
    <mergeCell ref="K454:K455"/>
    <mergeCell ref="K462:K463"/>
    <mergeCell ref="K470:K471"/>
    <mergeCell ref="K478:K479"/>
    <mergeCell ref="K486:K487"/>
    <mergeCell ref="K494:K495"/>
    <mergeCell ref="K502:K503"/>
    <mergeCell ref="K510:K511"/>
    <mergeCell ref="K518:K519"/>
    <mergeCell ref="K526:K527"/>
    <mergeCell ref="K534:K535"/>
    <mergeCell ref="K542:K543"/>
    <mergeCell ref="K550:K551"/>
    <mergeCell ref="K558:K559"/>
    <mergeCell ref="K566:K567"/>
    <mergeCell ref="K574:K575"/>
    <mergeCell ref="K582:K583"/>
    <mergeCell ref="K590:K591"/>
    <mergeCell ref="K598:K599"/>
    <mergeCell ref="K606:K607"/>
    <mergeCell ref="K614:K615"/>
    <mergeCell ref="K622:K623"/>
    <mergeCell ref="K630:K631"/>
    <mergeCell ref="L6:L7"/>
    <mergeCell ref="L14:L15"/>
    <mergeCell ref="L22:L23"/>
    <mergeCell ref="L30:L31"/>
    <mergeCell ref="L38:L39"/>
    <mergeCell ref="L46:L47"/>
    <mergeCell ref="L54:L55"/>
    <mergeCell ref="L62:L63"/>
    <mergeCell ref="L70:L71"/>
    <mergeCell ref="L78:L79"/>
    <mergeCell ref="L86:L87"/>
    <mergeCell ref="L94:L95"/>
    <mergeCell ref="L102:L103"/>
    <mergeCell ref="L110:L111"/>
    <mergeCell ref="L118:L119"/>
    <mergeCell ref="L126:L127"/>
    <mergeCell ref="L134:L135"/>
    <mergeCell ref="L142:L143"/>
    <mergeCell ref="L150:L151"/>
    <mergeCell ref="L158:L159"/>
    <mergeCell ref="L166:L167"/>
    <mergeCell ref="L174:L175"/>
    <mergeCell ref="L182:L183"/>
    <mergeCell ref="L190:L191"/>
    <mergeCell ref="L198:L199"/>
    <mergeCell ref="L206:L207"/>
    <mergeCell ref="L214:L215"/>
    <mergeCell ref="L222:L223"/>
    <mergeCell ref="L230:L231"/>
    <mergeCell ref="L238:L239"/>
    <mergeCell ref="L246:L247"/>
    <mergeCell ref="L254:L255"/>
    <mergeCell ref="L262:L263"/>
    <mergeCell ref="L270:L271"/>
    <mergeCell ref="L278:L279"/>
    <mergeCell ref="L286:L287"/>
    <mergeCell ref="L294:L295"/>
    <mergeCell ref="L302:L303"/>
    <mergeCell ref="L310:L311"/>
    <mergeCell ref="L318:L319"/>
    <mergeCell ref="L326:L327"/>
    <mergeCell ref="L334:L335"/>
    <mergeCell ref="L342:L343"/>
    <mergeCell ref="L350:L351"/>
    <mergeCell ref="L358:L359"/>
    <mergeCell ref="L366:L367"/>
    <mergeCell ref="L374:L375"/>
    <mergeCell ref="L382:L383"/>
    <mergeCell ref="L390:L391"/>
    <mergeCell ref="L398:L399"/>
    <mergeCell ref="L406:L407"/>
    <mergeCell ref="L414:L415"/>
    <mergeCell ref="L422:L423"/>
    <mergeCell ref="L430:L431"/>
    <mergeCell ref="L438:L439"/>
    <mergeCell ref="L446:L447"/>
    <mergeCell ref="L454:L455"/>
    <mergeCell ref="L462:L463"/>
    <mergeCell ref="L470:L471"/>
    <mergeCell ref="L478:L479"/>
    <mergeCell ref="L486:L487"/>
    <mergeCell ref="L494:L495"/>
    <mergeCell ref="L502:L503"/>
    <mergeCell ref="L510:L511"/>
    <mergeCell ref="L518:L519"/>
    <mergeCell ref="L526:L527"/>
    <mergeCell ref="L534:L535"/>
    <mergeCell ref="L542:L543"/>
    <mergeCell ref="L550:L551"/>
    <mergeCell ref="L558:L559"/>
    <mergeCell ref="L566:L567"/>
    <mergeCell ref="L574:L575"/>
    <mergeCell ref="L582:L583"/>
    <mergeCell ref="L590:L591"/>
    <mergeCell ref="L598:L599"/>
    <mergeCell ref="L606:L607"/>
    <mergeCell ref="L614:L615"/>
    <mergeCell ref="L622:L623"/>
    <mergeCell ref="L630:L631"/>
    <mergeCell ref="M6:M7"/>
    <mergeCell ref="M14:M15"/>
    <mergeCell ref="M22:M23"/>
    <mergeCell ref="M30:M31"/>
    <mergeCell ref="M38:M39"/>
    <mergeCell ref="M46:M47"/>
    <mergeCell ref="M54:M55"/>
    <mergeCell ref="M62:M63"/>
    <mergeCell ref="M70:M71"/>
    <mergeCell ref="M78:M79"/>
    <mergeCell ref="M86:M87"/>
    <mergeCell ref="M94:M95"/>
    <mergeCell ref="M102:M103"/>
    <mergeCell ref="M110:M111"/>
    <mergeCell ref="M118:M119"/>
    <mergeCell ref="M126:M127"/>
    <mergeCell ref="M134:M135"/>
    <mergeCell ref="M142:M143"/>
    <mergeCell ref="M150:M151"/>
    <mergeCell ref="M158:M159"/>
    <mergeCell ref="M166:M167"/>
    <mergeCell ref="M174:M175"/>
    <mergeCell ref="M182:M183"/>
    <mergeCell ref="M190:M191"/>
    <mergeCell ref="M198:M199"/>
    <mergeCell ref="M206:M207"/>
    <mergeCell ref="M214:M215"/>
    <mergeCell ref="M222:M223"/>
    <mergeCell ref="M230:M231"/>
    <mergeCell ref="M238:M239"/>
    <mergeCell ref="M246:M247"/>
    <mergeCell ref="M254:M255"/>
    <mergeCell ref="M262:M263"/>
    <mergeCell ref="M270:M271"/>
    <mergeCell ref="M278:M279"/>
    <mergeCell ref="M286:M287"/>
    <mergeCell ref="M294:M295"/>
    <mergeCell ref="M302:M303"/>
    <mergeCell ref="M310:M311"/>
    <mergeCell ref="M318:M319"/>
    <mergeCell ref="M326:M327"/>
    <mergeCell ref="M334:M335"/>
    <mergeCell ref="M342:M343"/>
    <mergeCell ref="M350:M351"/>
    <mergeCell ref="M358:M359"/>
    <mergeCell ref="M366:M367"/>
    <mergeCell ref="M374:M375"/>
    <mergeCell ref="M382:M383"/>
    <mergeCell ref="M390:M391"/>
    <mergeCell ref="M398:M399"/>
    <mergeCell ref="M406:M407"/>
    <mergeCell ref="M414:M415"/>
    <mergeCell ref="M422:M423"/>
    <mergeCell ref="M430:M431"/>
    <mergeCell ref="M438:M439"/>
    <mergeCell ref="M446:M447"/>
    <mergeCell ref="M454:M455"/>
    <mergeCell ref="M462:M463"/>
    <mergeCell ref="M470:M471"/>
    <mergeCell ref="M478:M479"/>
    <mergeCell ref="M486:M487"/>
    <mergeCell ref="M494:M495"/>
    <mergeCell ref="M502:M503"/>
    <mergeCell ref="M510:M511"/>
    <mergeCell ref="M518:M519"/>
    <mergeCell ref="M526:M527"/>
    <mergeCell ref="M534:M535"/>
    <mergeCell ref="M542:M543"/>
    <mergeCell ref="M550:M551"/>
    <mergeCell ref="M558:M559"/>
    <mergeCell ref="M566:M567"/>
    <mergeCell ref="M574:M575"/>
    <mergeCell ref="M582:M583"/>
    <mergeCell ref="M590:M591"/>
    <mergeCell ref="M598:M599"/>
    <mergeCell ref="M606:M607"/>
    <mergeCell ref="M614:M615"/>
    <mergeCell ref="M622:M623"/>
    <mergeCell ref="M630:M631"/>
    <mergeCell ref="N6:N7"/>
    <mergeCell ref="N14:N15"/>
    <mergeCell ref="N22:N23"/>
    <mergeCell ref="N30:N31"/>
    <mergeCell ref="N38:N39"/>
    <mergeCell ref="N46:N47"/>
    <mergeCell ref="N54:N55"/>
    <mergeCell ref="N62:N63"/>
    <mergeCell ref="N70:N71"/>
    <mergeCell ref="N78:N79"/>
    <mergeCell ref="N86:N87"/>
    <mergeCell ref="N94:N95"/>
    <mergeCell ref="N102:N103"/>
    <mergeCell ref="N110:N111"/>
    <mergeCell ref="N118:N119"/>
    <mergeCell ref="N126:N127"/>
    <mergeCell ref="N134:N135"/>
    <mergeCell ref="N142:N143"/>
    <mergeCell ref="N150:N151"/>
    <mergeCell ref="N158:N159"/>
    <mergeCell ref="N166:N167"/>
    <mergeCell ref="N174:N175"/>
    <mergeCell ref="N182:N183"/>
    <mergeCell ref="N190:N191"/>
    <mergeCell ref="N198:N199"/>
    <mergeCell ref="N206:N207"/>
    <mergeCell ref="N214:N215"/>
    <mergeCell ref="N222:N223"/>
    <mergeCell ref="N230:N231"/>
    <mergeCell ref="N238:N239"/>
    <mergeCell ref="N246:N247"/>
    <mergeCell ref="N254:N255"/>
    <mergeCell ref="N262:N263"/>
    <mergeCell ref="N270:N271"/>
    <mergeCell ref="N278:N279"/>
    <mergeCell ref="N286:N287"/>
    <mergeCell ref="N294:N295"/>
    <mergeCell ref="N302:N303"/>
    <mergeCell ref="N310:N311"/>
    <mergeCell ref="N318:N319"/>
    <mergeCell ref="N326:N327"/>
    <mergeCell ref="N334:N335"/>
    <mergeCell ref="N342:N343"/>
    <mergeCell ref="N350:N351"/>
    <mergeCell ref="N358:N359"/>
    <mergeCell ref="N366:N367"/>
    <mergeCell ref="N374:N375"/>
    <mergeCell ref="N382:N383"/>
    <mergeCell ref="N390:N391"/>
    <mergeCell ref="N398:N399"/>
    <mergeCell ref="N406:N407"/>
    <mergeCell ref="N414:N415"/>
    <mergeCell ref="N422:N423"/>
    <mergeCell ref="N430:N431"/>
    <mergeCell ref="N438:N439"/>
    <mergeCell ref="N446:N447"/>
    <mergeCell ref="N454:N455"/>
    <mergeCell ref="N462:N463"/>
    <mergeCell ref="N470:N471"/>
    <mergeCell ref="N478:N479"/>
    <mergeCell ref="N486:N487"/>
    <mergeCell ref="N494:N495"/>
    <mergeCell ref="N502:N503"/>
    <mergeCell ref="N510:N511"/>
    <mergeCell ref="N518:N519"/>
    <mergeCell ref="N526:N527"/>
    <mergeCell ref="N534:N535"/>
    <mergeCell ref="N542:N543"/>
    <mergeCell ref="N550:N551"/>
    <mergeCell ref="N558:N559"/>
    <mergeCell ref="N566:N567"/>
    <mergeCell ref="N574:N575"/>
    <mergeCell ref="N582:N583"/>
    <mergeCell ref="N590:N591"/>
    <mergeCell ref="N598:N599"/>
    <mergeCell ref="N606:N607"/>
    <mergeCell ref="N614:N615"/>
    <mergeCell ref="N622:N623"/>
    <mergeCell ref="N630:N631"/>
    <mergeCell ref="O6:O7"/>
    <mergeCell ref="O14:O15"/>
    <mergeCell ref="O22:O23"/>
    <mergeCell ref="O30:O31"/>
    <mergeCell ref="O38:O39"/>
    <mergeCell ref="O46:O47"/>
    <mergeCell ref="O54:O55"/>
    <mergeCell ref="O62:O63"/>
    <mergeCell ref="O70:O71"/>
    <mergeCell ref="O78:O79"/>
    <mergeCell ref="O86:O87"/>
    <mergeCell ref="O94:O95"/>
    <mergeCell ref="O102:O103"/>
    <mergeCell ref="O110:O111"/>
    <mergeCell ref="O118:O119"/>
    <mergeCell ref="O126:O127"/>
    <mergeCell ref="O134:O135"/>
    <mergeCell ref="O142:O143"/>
    <mergeCell ref="O150:O151"/>
    <mergeCell ref="O158:O159"/>
    <mergeCell ref="O166:O167"/>
    <mergeCell ref="O174:O175"/>
    <mergeCell ref="O182:O183"/>
    <mergeCell ref="O190:O191"/>
    <mergeCell ref="O198:O199"/>
    <mergeCell ref="O206:O207"/>
    <mergeCell ref="O214:O215"/>
    <mergeCell ref="O222:O223"/>
    <mergeCell ref="O230:O231"/>
    <mergeCell ref="O238:O239"/>
    <mergeCell ref="O246:O247"/>
    <mergeCell ref="O254:O255"/>
    <mergeCell ref="O262:O263"/>
    <mergeCell ref="O270:O271"/>
    <mergeCell ref="O278:O279"/>
    <mergeCell ref="O286:O287"/>
    <mergeCell ref="O294:O295"/>
    <mergeCell ref="O302:O303"/>
    <mergeCell ref="O310:O311"/>
    <mergeCell ref="O318:O319"/>
    <mergeCell ref="O326:O327"/>
    <mergeCell ref="O334:O335"/>
    <mergeCell ref="O342:O343"/>
    <mergeCell ref="O350:O351"/>
    <mergeCell ref="O358:O359"/>
    <mergeCell ref="O366:O367"/>
    <mergeCell ref="O374:O375"/>
    <mergeCell ref="O382:O383"/>
    <mergeCell ref="O390:O391"/>
    <mergeCell ref="O398:O399"/>
    <mergeCell ref="O406:O407"/>
    <mergeCell ref="O414:O415"/>
    <mergeCell ref="O422:O423"/>
    <mergeCell ref="O430:O431"/>
    <mergeCell ref="O438:O439"/>
    <mergeCell ref="O446:O447"/>
    <mergeCell ref="O454:O455"/>
    <mergeCell ref="O462:O463"/>
    <mergeCell ref="O470:O471"/>
    <mergeCell ref="O478:O479"/>
    <mergeCell ref="O486:O487"/>
    <mergeCell ref="O494:O495"/>
    <mergeCell ref="O502:O503"/>
    <mergeCell ref="O510:O511"/>
    <mergeCell ref="O518:O519"/>
    <mergeCell ref="O526:O527"/>
    <mergeCell ref="O534:O535"/>
    <mergeCell ref="O542:O543"/>
    <mergeCell ref="O550:O551"/>
    <mergeCell ref="O558:O559"/>
    <mergeCell ref="O566:O567"/>
    <mergeCell ref="O574:O575"/>
    <mergeCell ref="O582:O583"/>
    <mergeCell ref="O590:O591"/>
    <mergeCell ref="O598:O599"/>
    <mergeCell ref="O606:O607"/>
    <mergeCell ref="O614:O615"/>
    <mergeCell ref="O622:O623"/>
    <mergeCell ref="O630:O631"/>
    <mergeCell ref="P6:P7"/>
  </mergeCells>
  <pageMargins left="0.708661417322835" right="0.708661417322835" top="0.748031496062992" bottom="0.748031496062992" header="0.31496062992126" footer="0.31496062992126"/>
  <pageSetup paperSize="1" scale="27" fitToHeight="0" orientation="portrait"/>
  <headerFooter>
    <oddFooter>&amp;Cصفحة &amp;P من &amp;N</oddFooter>
  </headerFooter>
  <colBreaks count="2" manualBreakCount="2">
    <brk id="15" max="633" man="1"/>
    <brk id="17" max="632" man="1"/>
  </colBreaks>
  <ignoredErrors>
    <ignoredError sqref="O633" evalError="1"/>
    <ignoredError sqref="O248:O253 O256:O261 O264:O269 O272:O277 O280:O285 O288:O293 O296:O301 O304:O309 O312:O317 O320:O325 O328:O333 O336:O341 O344:O349 O352:O357 O360:O365 O368:O373 O376:O381 O384:O389 O392:O397 O400:O405 O408:O413 O416:O421 O424:O429 O432:O437 O440:O445 O448:O453 O456:O461 O464:O469 O472:O477 O480:O485 O488:O493 O496:O501 O504:O509 O512:O517 O520:O525 O528:O533 O536:O541 O544:O549 O552:O557 O560:O565 O568:O573 O576:O581 O584:O589 O592:O597 O600:O605 O608:O613 O616:O621 O624:O629 O632" evalError="1" formula="1"/>
    <ignoredError sqref="O8:O247 O254:O255 O262:O263 O270:O271 O278:O279 O286:O287 O294:O295 O302:O303 O310:O311 O318:O319 O326:O327 O334:O335 O342:O343 O350:O351 O358:O359 O366:O367 O374:O375 O382:O383 O390:O391 O398:O399 O406:O407 O414:O415 O422:O423 O430:O431 O438:O439 O446:O447 O454:O455 O462:O463 O470:O471 O478:O479 O486:O487 O494:O495 O502:O503 O510:O511 O518:O519 O526:O527 O534:O535 O542:O543 O550:O551 O558:O559 O566:O567 O574:O575 O582:O583 O590:O591 O598:O599 O606:O607 O614:O615 O622:O632" formula="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ورقة1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المهندس احمد ناجح نوفل</cp:lastModifiedBy>
  <dcterms:created xsi:type="dcterms:W3CDTF">2022-12-22T22:09:00Z</dcterms:created>
  <cp:lastPrinted>2023-09-24T11:00:00Z</cp:lastPrinted>
  <dcterms:modified xsi:type="dcterms:W3CDTF">2025-11-25T11:31:32Z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1033-12.2.0.23155</vt:lpwstr>
  </property>
  <property fmtid="{D5CDD505-2E9C-101B-9397-08002B2CF9AE}" pid="3" name="ICV">
    <vt:lpwstr>E8811DC22CD94C3581050C1D2C2F3774_12</vt:lpwstr>
  </property>
</Properties>
</file>